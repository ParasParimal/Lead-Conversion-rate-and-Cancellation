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5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Ex6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7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0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Electric Pe_2022UGCM007\"/>
    </mc:Choice>
  </mc:AlternateContent>
  <xr:revisionPtr revIDLastSave="0" documentId="13_ncr:1_{CBE00C4B-BAEE-4387-8FE8-85ADFABE9E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olutions" sheetId="2" r:id="rId2"/>
    <sheet name="Dashboard_" sheetId="4" r:id="rId3"/>
    <sheet name="Dashboard" sheetId="3" state="hidden" r:id="rId4"/>
  </sheets>
  <definedNames>
    <definedName name="_xlnm._FilterDatabase" localSheetId="0" hidden="1">Sheet1!$A$1:$O$1003</definedName>
    <definedName name="_xlchart.v2.0" hidden="1">Solutions!$D$13</definedName>
    <definedName name="_xlchart.v2.1" hidden="1">Solutions!$E$12:$H$12</definedName>
    <definedName name="_xlchart.v2.10" hidden="1">Solutions!$E$12:$H$12</definedName>
    <definedName name="_xlchart.v2.11" hidden="1">Solutions!$E$14:$H$14</definedName>
    <definedName name="_xlchart.v2.12" hidden="1">Solutions!$D$19:$D$22</definedName>
    <definedName name="_xlchart.v2.13" hidden="1">Solutions!$E$18</definedName>
    <definedName name="_xlchart.v2.14" hidden="1">Solutions!$E$19:$E$22</definedName>
    <definedName name="_xlchart.v2.15" hidden="1">Solutions!$D$19:$D$22</definedName>
    <definedName name="_xlchart.v2.16" hidden="1">Solutions!$E$18</definedName>
    <definedName name="_xlchart.v2.17" hidden="1">Solutions!$E$19:$E$22</definedName>
    <definedName name="_xlchart.v2.2" hidden="1">Solutions!$E$13:$H$13</definedName>
    <definedName name="_xlchart.v2.3" hidden="1">Solutions!$D$16</definedName>
    <definedName name="_xlchart.v2.4" hidden="1">Solutions!$E$12:$H$12</definedName>
    <definedName name="_xlchart.v2.5" hidden="1">Solutions!$E$16:$H$16</definedName>
    <definedName name="_xlchart.v2.6" hidden="1">Solutions!$D$15</definedName>
    <definedName name="_xlchart.v2.7" hidden="1">Solutions!$E$12:$H$12</definedName>
    <definedName name="_xlchart.v2.8" hidden="1">Solutions!$E$15:$H$15</definedName>
    <definedName name="_xlchart.v2.9" hidden="1">Solutions!$D$14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8" i="4" l="1"/>
  <c r="L49" i="4"/>
  <c r="L50" i="4"/>
  <c r="L51" i="4"/>
  <c r="L52" i="4"/>
  <c r="L53" i="4"/>
  <c r="L54" i="4"/>
  <c r="L55" i="4"/>
  <c r="L56" i="4"/>
  <c r="L57" i="4"/>
  <c r="L58" i="4"/>
  <c r="P69" i="3"/>
  <c r="S36" i="4"/>
  <c r="S37" i="4"/>
  <c r="S35" i="4"/>
  <c r="S38" i="4" s="1"/>
  <c r="O90" i="3"/>
  <c r="O91" i="3"/>
  <c r="O89" i="3"/>
  <c r="I37" i="4"/>
  <c r="I38" i="4"/>
  <c r="I36" i="4"/>
  <c r="O51" i="3"/>
  <c r="X18" i="4"/>
  <c r="X19" i="4"/>
  <c r="X20" i="4"/>
  <c r="X21" i="4"/>
  <c r="X17" i="4"/>
  <c r="O29" i="3"/>
  <c r="G111" i="2"/>
  <c r="G112" i="2"/>
  <c r="H111" i="2"/>
  <c r="H112" i="2"/>
  <c r="K70" i="2"/>
  <c r="K71" i="2"/>
  <c r="K72" i="2"/>
  <c r="G102" i="2"/>
  <c r="G103" i="2"/>
  <c r="E13" i="2"/>
  <c r="E19" i="2" s="1"/>
  <c r="E14" i="2"/>
  <c r="I14" i="2" s="1"/>
  <c r="E15" i="2"/>
  <c r="I15" i="2" s="1"/>
  <c r="E16" i="2"/>
  <c r="E22" i="2" s="1"/>
  <c r="P2" i="1" a="1"/>
  <c r="P2" i="1" s="1"/>
  <c r="P3" i="1" a="1"/>
  <c r="P3" i="1" s="1"/>
  <c r="P4" i="1" a="1"/>
  <c r="P4" i="1" s="1"/>
  <c r="P5" i="1" a="1"/>
  <c r="P5" i="1" s="1"/>
  <c r="P6" i="1" a="1"/>
  <c r="P6" i="1" s="1"/>
  <c r="P7" i="1" a="1"/>
  <c r="P7" i="1" s="1"/>
  <c r="P8" i="1" a="1"/>
  <c r="P8" i="1" s="1"/>
  <c r="P9" i="1" a="1"/>
  <c r="P9" i="1" s="1"/>
  <c r="P10" i="1" a="1"/>
  <c r="P10" i="1" s="1"/>
  <c r="P11" i="1" a="1"/>
  <c r="P11" i="1" s="1"/>
  <c r="P12" i="1" a="1"/>
  <c r="P12" i="1" s="1"/>
  <c r="P13" i="1" a="1"/>
  <c r="P13" i="1" s="1"/>
  <c r="P14" i="1" a="1"/>
  <c r="P14" i="1" s="1"/>
  <c r="P15" i="1" a="1"/>
  <c r="P15" i="1" s="1"/>
  <c r="P16" i="1" a="1"/>
  <c r="P16" i="1" s="1"/>
  <c r="P17" i="1" a="1"/>
  <c r="P17" i="1" s="1"/>
  <c r="P18" i="1" a="1"/>
  <c r="P18" i="1" s="1"/>
  <c r="P19" i="1" a="1"/>
  <c r="P19" i="1" s="1"/>
  <c r="P20" i="1" a="1"/>
  <c r="P20" i="1" s="1"/>
  <c r="P21" i="1" a="1"/>
  <c r="P21" i="1" s="1"/>
  <c r="P22" i="1" a="1"/>
  <c r="P22" i="1" s="1"/>
  <c r="P23" i="1" a="1"/>
  <c r="P23" i="1" s="1"/>
  <c r="P24" i="1" a="1"/>
  <c r="P24" i="1" s="1"/>
  <c r="P25" i="1" a="1"/>
  <c r="P25" i="1" s="1"/>
  <c r="P26" i="1" a="1"/>
  <c r="P26" i="1" s="1"/>
  <c r="P27" i="1" a="1"/>
  <c r="P27" i="1" s="1"/>
  <c r="P28" i="1" a="1"/>
  <c r="P28" i="1" s="1"/>
  <c r="P29" i="1" a="1"/>
  <c r="P29" i="1" s="1"/>
  <c r="P30" i="1" a="1"/>
  <c r="P30" i="1" s="1"/>
  <c r="P31" i="1" a="1"/>
  <c r="P31" i="1" s="1"/>
  <c r="P32" i="1" a="1"/>
  <c r="P32" i="1" s="1"/>
  <c r="P33" i="1" a="1"/>
  <c r="P33" i="1" s="1"/>
  <c r="P34" i="1" a="1"/>
  <c r="P34" i="1" s="1"/>
  <c r="P35" i="1" a="1"/>
  <c r="P35" i="1" s="1"/>
  <c r="P36" i="1" a="1"/>
  <c r="P36" i="1" s="1"/>
  <c r="P37" i="1" a="1"/>
  <c r="P37" i="1" s="1"/>
  <c r="P38" i="1" a="1"/>
  <c r="P38" i="1" s="1"/>
  <c r="P39" i="1" a="1"/>
  <c r="P39" i="1" s="1"/>
  <c r="P40" i="1" a="1"/>
  <c r="P40" i="1" s="1"/>
  <c r="P41" i="1" a="1"/>
  <c r="P41" i="1" s="1"/>
  <c r="P42" i="1" a="1"/>
  <c r="P42" i="1" s="1"/>
  <c r="P43" i="1" a="1"/>
  <c r="P43" i="1" s="1"/>
  <c r="P44" i="1" a="1"/>
  <c r="P44" i="1" s="1"/>
  <c r="P45" i="1" a="1"/>
  <c r="P45" i="1" s="1"/>
  <c r="P46" i="1" a="1"/>
  <c r="P46" i="1" s="1"/>
  <c r="P47" i="1" a="1"/>
  <c r="P47" i="1" s="1"/>
  <c r="P48" i="1" a="1"/>
  <c r="P48" i="1" s="1"/>
  <c r="P49" i="1" a="1"/>
  <c r="P49" i="1" s="1"/>
  <c r="P50" i="1" a="1"/>
  <c r="P50" i="1" s="1"/>
  <c r="P51" i="1" a="1"/>
  <c r="P51" i="1" s="1"/>
  <c r="P52" i="1" a="1"/>
  <c r="P52" i="1" s="1"/>
  <c r="P53" i="1" a="1"/>
  <c r="P53" i="1" s="1"/>
  <c r="P54" i="1" a="1"/>
  <c r="P54" i="1" s="1"/>
  <c r="P55" i="1" a="1"/>
  <c r="P55" i="1" s="1"/>
  <c r="P56" i="1" a="1"/>
  <c r="P56" i="1" s="1"/>
  <c r="P57" i="1" a="1"/>
  <c r="P57" i="1" s="1"/>
  <c r="P58" i="1" a="1"/>
  <c r="P58" i="1" s="1"/>
  <c r="P59" i="1" a="1"/>
  <c r="P59" i="1" s="1"/>
  <c r="P60" i="1" a="1"/>
  <c r="P60" i="1" s="1"/>
  <c r="P61" i="1" a="1"/>
  <c r="P61" i="1" s="1"/>
  <c r="P62" i="1" a="1"/>
  <c r="P62" i="1" s="1"/>
  <c r="P63" i="1" a="1"/>
  <c r="P63" i="1" s="1"/>
  <c r="P64" i="1" a="1"/>
  <c r="P64" i="1" s="1"/>
  <c r="P65" i="1" a="1"/>
  <c r="P65" i="1" s="1"/>
  <c r="P66" i="1" a="1"/>
  <c r="P66" i="1" s="1"/>
  <c r="P67" i="1" a="1"/>
  <c r="P67" i="1" s="1"/>
  <c r="P68" i="1" a="1"/>
  <c r="P68" i="1" s="1"/>
  <c r="P69" i="1" a="1"/>
  <c r="P69" i="1" s="1"/>
  <c r="P70" i="1" a="1"/>
  <c r="P70" i="1" s="1"/>
  <c r="P71" i="1" a="1"/>
  <c r="P71" i="1" s="1"/>
  <c r="P72" i="1" a="1"/>
  <c r="P72" i="1" s="1"/>
  <c r="P73" i="1" a="1"/>
  <c r="P73" i="1" s="1"/>
  <c r="P74" i="1" a="1"/>
  <c r="P74" i="1" s="1"/>
  <c r="P75" i="1" a="1"/>
  <c r="P75" i="1" s="1"/>
  <c r="P76" i="1" a="1"/>
  <c r="P76" i="1" s="1"/>
  <c r="P77" i="1" a="1"/>
  <c r="P77" i="1" s="1"/>
  <c r="P78" i="1" a="1"/>
  <c r="P78" i="1" s="1"/>
  <c r="P79" i="1" a="1"/>
  <c r="P79" i="1" s="1"/>
  <c r="P80" i="1" a="1"/>
  <c r="P80" i="1" s="1"/>
  <c r="P81" i="1" a="1"/>
  <c r="P81" i="1" s="1"/>
  <c r="P82" i="1" a="1"/>
  <c r="P82" i="1" s="1"/>
  <c r="P83" i="1" a="1"/>
  <c r="P83" i="1" s="1"/>
  <c r="P84" i="1" a="1"/>
  <c r="P84" i="1" s="1"/>
  <c r="P85" i="1" a="1"/>
  <c r="P85" i="1" s="1"/>
  <c r="P86" i="1" a="1"/>
  <c r="P86" i="1" s="1"/>
  <c r="P87" i="1" a="1"/>
  <c r="P87" i="1" s="1"/>
  <c r="P88" i="1" a="1"/>
  <c r="P88" i="1" s="1"/>
  <c r="P89" i="1" a="1"/>
  <c r="P89" i="1" s="1"/>
  <c r="P90" i="1" a="1"/>
  <c r="P90" i="1" s="1"/>
  <c r="P91" i="1" a="1"/>
  <c r="P91" i="1" s="1"/>
  <c r="P92" i="1" a="1"/>
  <c r="P92" i="1" s="1"/>
  <c r="P93" i="1" a="1"/>
  <c r="P93" i="1" s="1"/>
  <c r="P94" i="1" a="1"/>
  <c r="P94" i="1" s="1"/>
  <c r="P95" i="1" a="1"/>
  <c r="P95" i="1" s="1"/>
  <c r="P96" i="1" a="1"/>
  <c r="P96" i="1" s="1"/>
  <c r="P97" i="1" a="1"/>
  <c r="P97" i="1" s="1"/>
  <c r="P98" i="1" a="1"/>
  <c r="P98" i="1" s="1"/>
  <c r="P99" i="1" a="1"/>
  <c r="P99" i="1" s="1"/>
  <c r="P100" i="1" a="1"/>
  <c r="P100" i="1" s="1"/>
  <c r="P101" i="1" a="1"/>
  <c r="P101" i="1" s="1"/>
  <c r="P102" i="1" a="1"/>
  <c r="P102" i="1" s="1"/>
  <c r="P103" i="1" a="1"/>
  <c r="P103" i="1" s="1"/>
  <c r="P104" i="1" a="1"/>
  <c r="P104" i="1" s="1"/>
  <c r="P105" i="1" a="1"/>
  <c r="P105" i="1" s="1"/>
  <c r="P106" i="1" a="1"/>
  <c r="P106" i="1" s="1"/>
  <c r="P107" i="1" a="1"/>
  <c r="P107" i="1" s="1"/>
  <c r="P108" i="1" a="1"/>
  <c r="P108" i="1" s="1"/>
  <c r="P109" i="1" a="1"/>
  <c r="P109" i="1" s="1"/>
  <c r="P110" i="1" a="1"/>
  <c r="P110" i="1" s="1"/>
  <c r="P111" i="1" a="1"/>
  <c r="P111" i="1" s="1"/>
  <c r="P112" i="1" a="1"/>
  <c r="P112" i="1" s="1"/>
  <c r="P113" i="1" a="1"/>
  <c r="P113" i="1" s="1"/>
  <c r="P114" i="1" a="1"/>
  <c r="P114" i="1" s="1"/>
  <c r="P115" i="1" a="1"/>
  <c r="P115" i="1" s="1"/>
  <c r="P116" i="1" a="1"/>
  <c r="P116" i="1" s="1"/>
  <c r="P117" i="1" a="1"/>
  <c r="P117" i="1" s="1"/>
  <c r="P118" i="1" a="1"/>
  <c r="P118" i="1" s="1"/>
  <c r="P119" i="1" a="1"/>
  <c r="P119" i="1" s="1"/>
  <c r="P120" i="1" a="1"/>
  <c r="P120" i="1" s="1"/>
  <c r="P121" i="1" a="1"/>
  <c r="P121" i="1" s="1"/>
  <c r="P122" i="1" a="1"/>
  <c r="P122" i="1" s="1"/>
  <c r="P123" i="1" a="1"/>
  <c r="P123" i="1" s="1"/>
  <c r="P124" i="1" a="1"/>
  <c r="P124" i="1" s="1"/>
  <c r="P125" i="1" a="1"/>
  <c r="P125" i="1" s="1"/>
  <c r="P126" i="1" a="1"/>
  <c r="P126" i="1" s="1"/>
  <c r="P127" i="1" a="1"/>
  <c r="P127" i="1" s="1"/>
  <c r="P128" i="1" a="1"/>
  <c r="P128" i="1" s="1"/>
  <c r="P129" i="1" a="1"/>
  <c r="P129" i="1" s="1"/>
  <c r="P130" i="1" a="1"/>
  <c r="P130" i="1" s="1"/>
  <c r="P131" i="1" a="1"/>
  <c r="P131" i="1" s="1"/>
  <c r="P132" i="1" a="1"/>
  <c r="P132" i="1" s="1"/>
  <c r="P133" i="1" a="1"/>
  <c r="P133" i="1" s="1"/>
  <c r="P134" i="1" a="1"/>
  <c r="P134" i="1" s="1"/>
  <c r="P135" i="1" a="1"/>
  <c r="P135" i="1" s="1"/>
  <c r="P136" i="1" a="1"/>
  <c r="P136" i="1" s="1"/>
  <c r="P137" i="1" a="1"/>
  <c r="P137" i="1" s="1"/>
  <c r="P138" i="1" a="1"/>
  <c r="P138" i="1" s="1"/>
  <c r="P139" i="1" a="1"/>
  <c r="P139" i="1" s="1"/>
  <c r="P140" i="1" a="1"/>
  <c r="P140" i="1" s="1"/>
  <c r="P141" i="1" a="1"/>
  <c r="P141" i="1" s="1"/>
  <c r="P142" i="1" a="1"/>
  <c r="P142" i="1" s="1"/>
  <c r="P143" i="1" a="1"/>
  <c r="P143" i="1" s="1"/>
  <c r="P144" i="1" a="1"/>
  <c r="P144" i="1" s="1"/>
  <c r="P145" i="1" a="1"/>
  <c r="P145" i="1" s="1"/>
  <c r="P146" i="1" a="1"/>
  <c r="P146" i="1" s="1"/>
  <c r="P147" i="1" a="1"/>
  <c r="P147" i="1" s="1"/>
  <c r="P148" i="1" a="1"/>
  <c r="P148" i="1" s="1"/>
  <c r="P149" i="1" a="1"/>
  <c r="P149" i="1" s="1"/>
  <c r="P150" i="1" a="1"/>
  <c r="P150" i="1" s="1"/>
  <c r="P151" i="1" a="1"/>
  <c r="P151" i="1" s="1"/>
  <c r="P152" i="1" a="1"/>
  <c r="P152" i="1" s="1"/>
  <c r="P153" i="1" a="1"/>
  <c r="P153" i="1" s="1"/>
  <c r="P154" i="1" a="1"/>
  <c r="P154" i="1" s="1"/>
  <c r="P155" i="1" a="1"/>
  <c r="P155" i="1" s="1"/>
  <c r="P156" i="1" a="1"/>
  <c r="P156" i="1" s="1"/>
  <c r="P157" i="1" a="1"/>
  <c r="P157" i="1" s="1"/>
  <c r="P158" i="1" a="1"/>
  <c r="P158" i="1" s="1"/>
  <c r="P159" i="1" a="1"/>
  <c r="P159" i="1" s="1"/>
  <c r="P160" i="1" a="1"/>
  <c r="P160" i="1" s="1"/>
  <c r="P161" i="1" a="1"/>
  <c r="P161" i="1" s="1"/>
  <c r="P162" i="1" a="1"/>
  <c r="P162" i="1" s="1"/>
  <c r="P163" i="1" a="1"/>
  <c r="P163" i="1" s="1"/>
  <c r="P164" i="1" a="1"/>
  <c r="P164" i="1" s="1"/>
  <c r="P165" i="1" a="1"/>
  <c r="P165" i="1" s="1"/>
  <c r="P166" i="1" a="1"/>
  <c r="P166" i="1" s="1"/>
  <c r="P167" i="1" a="1"/>
  <c r="P167" i="1" s="1"/>
  <c r="P168" i="1" a="1"/>
  <c r="P168" i="1" s="1"/>
  <c r="P169" i="1" a="1"/>
  <c r="P169" i="1" s="1"/>
  <c r="P170" i="1" a="1"/>
  <c r="P170" i="1" s="1"/>
  <c r="P171" i="1" a="1"/>
  <c r="P171" i="1" s="1"/>
  <c r="P172" i="1" a="1"/>
  <c r="P172" i="1" s="1"/>
  <c r="P173" i="1" a="1"/>
  <c r="P173" i="1" s="1"/>
  <c r="P174" i="1" a="1"/>
  <c r="P174" i="1" s="1"/>
  <c r="P175" i="1" a="1"/>
  <c r="P175" i="1" s="1"/>
  <c r="P176" i="1" a="1"/>
  <c r="P176" i="1" s="1"/>
  <c r="P177" i="1" a="1"/>
  <c r="P177" i="1" s="1"/>
  <c r="P178" i="1" a="1"/>
  <c r="P178" i="1" s="1"/>
  <c r="P179" i="1" a="1"/>
  <c r="P179" i="1" s="1"/>
  <c r="P180" i="1" a="1"/>
  <c r="P180" i="1" s="1"/>
  <c r="P181" i="1" a="1"/>
  <c r="P181" i="1" s="1"/>
  <c r="P182" i="1" a="1"/>
  <c r="P182" i="1" s="1"/>
  <c r="P183" i="1" a="1"/>
  <c r="P183" i="1" s="1"/>
  <c r="P184" i="1" a="1"/>
  <c r="P184" i="1" s="1"/>
  <c r="P185" i="1" a="1"/>
  <c r="P185" i="1" s="1"/>
  <c r="P186" i="1" a="1"/>
  <c r="P186" i="1" s="1"/>
  <c r="P187" i="1" a="1"/>
  <c r="P187" i="1" s="1"/>
  <c r="P188" i="1" a="1"/>
  <c r="P188" i="1" s="1"/>
  <c r="P189" i="1" a="1"/>
  <c r="P189" i="1" s="1"/>
  <c r="P190" i="1" a="1"/>
  <c r="P190" i="1" s="1"/>
  <c r="P191" i="1" a="1"/>
  <c r="P191" i="1" s="1"/>
  <c r="P192" i="1" a="1"/>
  <c r="P192" i="1" s="1"/>
  <c r="P193" i="1" a="1"/>
  <c r="P193" i="1" s="1"/>
  <c r="P194" i="1" a="1"/>
  <c r="P194" i="1" s="1"/>
  <c r="P195" i="1" a="1"/>
  <c r="P195" i="1" s="1"/>
  <c r="P196" i="1" a="1"/>
  <c r="P196" i="1" s="1"/>
  <c r="P197" i="1" a="1"/>
  <c r="P197" i="1" s="1"/>
  <c r="P198" i="1" a="1"/>
  <c r="P198" i="1" s="1"/>
  <c r="P199" i="1" a="1"/>
  <c r="P199" i="1" s="1"/>
  <c r="P200" i="1" a="1"/>
  <c r="P200" i="1" s="1"/>
  <c r="P201" i="1" a="1"/>
  <c r="P201" i="1" s="1"/>
  <c r="P202" i="1" a="1"/>
  <c r="P202" i="1" s="1"/>
  <c r="P203" i="1" a="1"/>
  <c r="P203" i="1" s="1"/>
  <c r="P204" i="1" a="1"/>
  <c r="P204" i="1" s="1"/>
  <c r="P205" i="1" a="1"/>
  <c r="P205" i="1" s="1"/>
  <c r="P206" i="1" a="1"/>
  <c r="P206" i="1" s="1"/>
  <c r="P207" i="1" a="1"/>
  <c r="P207" i="1" s="1"/>
  <c r="P208" i="1" a="1"/>
  <c r="P208" i="1" s="1"/>
  <c r="P209" i="1" a="1"/>
  <c r="P209" i="1" s="1"/>
  <c r="P210" i="1" a="1"/>
  <c r="P210" i="1" s="1"/>
  <c r="P211" i="1" a="1"/>
  <c r="P211" i="1" s="1"/>
  <c r="P212" i="1" a="1"/>
  <c r="P212" i="1" s="1"/>
  <c r="P213" i="1" a="1"/>
  <c r="P213" i="1" s="1"/>
  <c r="P214" i="1" a="1"/>
  <c r="P214" i="1" s="1"/>
  <c r="P215" i="1" a="1"/>
  <c r="P215" i="1" s="1"/>
  <c r="P216" i="1" a="1"/>
  <c r="P216" i="1" s="1"/>
  <c r="P217" i="1" a="1"/>
  <c r="P217" i="1" s="1"/>
  <c r="P218" i="1" a="1"/>
  <c r="P218" i="1" s="1"/>
  <c r="P219" i="1" a="1"/>
  <c r="P219" i="1" s="1"/>
  <c r="P220" i="1" a="1"/>
  <c r="P220" i="1" s="1"/>
  <c r="P221" i="1" a="1"/>
  <c r="P221" i="1" s="1"/>
  <c r="P222" i="1" a="1"/>
  <c r="P222" i="1" s="1"/>
  <c r="P223" i="1" a="1"/>
  <c r="P223" i="1" s="1"/>
  <c r="P224" i="1" a="1"/>
  <c r="P224" i="1" s="1"/>
  <c r="P225" i="1" a="1"/>
  <c r="P225" i="1" s="1"/>
  <c r="P226" i="1" a="1"/>
  <c r="P226" i="1" s="1"/>
  <c r="P227" i="1" a="1"/>
  <c r="P227" i="1" s="1"/>
  <c r="P228" i="1" a="1"/>
  <c r="P228" i="1" s="1"/>
  <c r="P229" i="1" a="1"/>
  <c r="P229" i="1" s="1"/>
  <c r="P230" i="1" a="1"/>
  <c r="P230" i="1" s="1"/>
  <c r="P231" i="1" a="1"/>
  <c r="P231" i="1" s="1"/>
  <c r="P232" i="1" a="1"/>
  <c r="P232" i="1" s="1"/>
  <c r="P233" i="1" a="1"/>
  <c r="P233" i="1" s="1"/>
  <c r="P234" i="1" a="1"/>
  <c r="P234" i="1" s="1"/>
  <c r="P235" i="1" a="1"/>
  <c r="P235" i="1" s="1"/>
  <c r="P236" i="1" a="1"/>
  <c r="P236" i="1" s="1"/>
  <c r="P237" i="1" a="1"/>
  <c r="P237" i="1" s="1"/>
  <c r="P238" i="1" a="1"/>
  <c r="P238" i="1" s="1"/>
  <c r="P239" i="1" a="1"/>
  <c r="P239" i="1" s="1"/>
  <c r="P240" i="1" a="1"/>
  <c r="P240" i="1" s="1"/>
  <c r="P241" i="1" a="1"/>
  <c r="P241" i="1" s="1"/>
  <c r="P242" i="1" a="1"/>
  <c r="P242" i="1" s="1"/>
  <c r="P243" i="1" a="1"/>
  <c r="P243" i="1" s="1"/>
  <c r="P244" i="1" a="1"/>
  <c r="P244" i="1" s="1"/>
  <c r="P245" i="1" a="1"/>
  <c r="P245" i="1" s="1"/>
  <c r="P246" i="1" a="1"/>
  <c r="P246" i="1" s="1"/>
  <c r="P247" i="1" a="1"/>
  <c r="P247" i="1" s="1"/>
  <c r="P248" i="1" a="1"/>
  <c r="P248" i="1" s="1"/>
  <c r="P249" i="1" a="1"/>
  <c r="P249" i="1" s="1"/>
  <c r="P250" i="1" a="1"/>
  <c r="P250" i="1" s="1"/>
  <c r="P251" i="1" a="1"/>
  <c r="P251" i="1" s="1"/>
  <c r="P252" i="1" a="1"/>
  <c r="P252" i="1" s="1"/>
  <c r="P253" i="1" a="1"/>
  <c r="P253" i="1" s="1"/>
  <c r="P254" i="1" a="1"/>
  <c r="P254" i="1" s="1"/>
  <c r="P255" i="1" a="1"/>
  <c r="P255" i="1" s="1"/>
  <c r="P256" i="1" a="1"/>
  <c r="P256" i="1" s="1"/>
  <c r="P257" i="1" a="1"/>
  <c r="P257" i="1" s="1"/>
  <c r="P258" i="1" a="1"/>
  <c r="P258" i="1" s="1"/>
  <c r="P259" i="1" a="1"/>
  <c r="P259" i="1" s="1"/>
  <c r="P260" i="1" a="1"/>
  <c r="P260" i="1" s="1"/>
  <c r="P261" i="1" a="1"/>
  <c r="P261" i="1" s="1"/>
  <c r="P262" i="1" a="1"/>
  <c r="P262" i="1" s="1"/>
  <c r="P263" i="1" a="1"/>
  <c r="P263" i="1" s="1"/>
  <c r="P264" i="1" a="1"/>
  <c r="P264" i="1" s="1"/>
  <c r="P265" i="1" a="1"/>
  <c r="P265" i="1" s="1"/>
  <c r="P266" i="1" a="1"/>
  <c r="P266" i="1" s="1"/>
  <c r="P267" i="1" a="1"/>
  <c r="P267" i="1" s="1"/>
  <c r="P268" i="1" a="1"/>
  <c r="P268" i="1" s="1"/>
  <c r="P269" i="1" a="1"/>
  <c r="P269" i="1" s="1"/>
  <c r="P270" i="1" a="1"/>
  <c r="P270" i="1" s="1"/>
  <c r="P271" i="1" a="1"/>
  <c r="P271" i="1" s="1"/>
  <c r="P272" i="1" a="1"/>
  <c r="P272" i="1" s="1"/>
  <c r="P273" i="1" a="1"/>
  <c r="P273" i="1" s="1"/>
  <c r="P274" i="1" a="1"/>
  <c r="P274" i="1" s="1"/>
  <c r="P275" i="1" a="1"/>
  <c r="P275" i="1" s="1"/>
  <c r="P276" i="1" a="1"/>
  <c r="P276" i="1" s="1"/>
  <c r="P277" i="1" a="1"/>
  <c r="P277" i="1" s="1"/>
  <c r="P278" i="1" a="1"/>
  <c r="P278" i="1" s="1"/>
  <c r="P279" i="1" a="1"/>
  <c r="P279" i="1" s="1"/>
  <c r="P280" i="1" a="1"/>
  <c r="P280" i="1" s="1"/>
  <c r="P281" i="1" a="1"/>
  <c r="P281" i="1" s="1"/>
  <c r="P282" i="1" a="1"/>
  <c r="P282" i="1" s="1"/>
  <c r="P283" i="1" a="1"/>
  <c r="P283" i="1" s="1"/>
  <c r="P284" i="1" a="1"/>
  <c r="P284" i="1" s="1"/>
  <c r="P285" i="1" a="1"/>
  <c r="P285" i="1" s="1"/>
  <c r="P286" i="1" a="1"/>
  <c r="P286" i="1" s="1"/>
  <c r="P287" i="1" a="1"/>
  <c r="P287" i="1" s="1"/>
  <c r="P288" i="1" a="1"/>
  <c r="P288" i="1" s="1"/>
  <c r="P289" i="1" a="1"/>
  <c r="P289" i="1" s="1"/>
  <c r="P290" i="1" a="1"/>
  <c r="P290" i="1" s="1"/>
  <c r="P291" i="1" a="1"/>
  <c r="P291" i="1" s="1"/>
  <c r="P292" i="1" a="1"/>
  <c r="P292" i="1" s="1"/>
  <c r="P293" i="1" a="1"/>
  <c r="P293" i="1" s="1"/>
  <c r="P294" i="1" a="1"/>
  <c r="P294" i="1" s="1"/>
  <c r="P295" i="1" a="1"/>
  <c r="P295" i="1" s="1"/>
  <c r="P296" i="1" a="1"/>
  <c r="P296" i="1" s="1"/>
  <c r="P297" i="1" a="1"/>
  <c r="P297" i="1" s="1"/>
  <c r="P298" i="1" a="1"/>
  <c r="P298" i="1" s="1"/>
  <c r="P299" i="1" a="1"/>
  <c r="P299" i="1" s="1"/>
  <c r="P300" i="1" a="1"/>
  <c r="P300" i="1" s="1"/>
  <c r="P301" i="1" a="1"/>
  <c r="P301" i="1" s="1"/>
  <c r="P302" i="1" a="1"/>
  <c r="P302" i="1" s="1"/>
  <c r="P303" i="1" a="1"/>
  <c r="P303" i="1" s="1"/>
  <c r="P304" i="1" a="1"/>
  <c r="P304" i="1" s="1"/>
  <c r="P305" i="1" a="1"/>
  <c r="P305" i="1" s="1"/>
  <c r="P306" i="1" a="1"/>
  <c r="P306" i="1" s="1"/>
  <c r="P307" i="1" a="1"/>
  <c r="P307" i="1" s="1"/>
  <c r="P308" i="1" a="1"/>
  <c r="P308" i="1" s="1"/>
  <c r="P309" i="1" a="1"/>
  <c r="P309" i="1" s="1"/>
  <c r="P310" i="1" a="1"/>
  <c r="P310" i="1" s="1"/>
  <c r="P311" i="1" a="1"/>
  <c r="P311" i="1" s="1"/>
  <c r="P312" i="1" a="1"/>
  <c r="P312" i="1" s="1"/>
  <c r="P313" i="1" a="1"/>
  <c r="P313" i="1" s="1"/>
  <c r="P314" i="1" a="1"/>
  <c r="P314" i="1" s="1"/>
  <c r="P315" i="1" a="1"/>
  <c r="P315" i="1" s="1"/>
  <c r="P316" i="1" a="1"/>
  <c r="P316" i="1" s="1"/>
  <c r="P317" i="1" a="1"/>
  <c r="P317" i="1" s="1"/>
  <c r="P318" i="1" a="1"/>
  <c r="P318" i="1" s="1"/>
  <c r="P319" i="1" a="1"/>
  <c r="P319" i="1" s="1"/>
  <c r="P320" i="1" a="1"/>
  <c r="P320" i="1" s="1"/>
  <c r="P321" i="1" a="1"/>
  <c r="P321" i="1" s="1"/>
  <c r="P322" i="1" a="1"/>
  <c r="P322" i="1" s="1"/>
  <c r="P323" i="1" a="1"/>
  <c r="P323" i="1" s="1"/>
  <c r="P324" i="1" a="1"/>
  <c r="P324" i="1" s="1"/>
  <c r="P325" i="1" a="1"/>
  <c r="P325" i="1" s="1"/>
  <c r="P326" i="1" a="1"/>
  <c r="P326" i="1" s="1"/>
  <c r="P327" i="1" a="1"/>
  <c r="P327" i="1" s="1"/>
  <c r="P328" i="1" a="1"/>
  <c r="P328" i="1" s="1"/>
  <c r="P329" i="1" a="1"/>
  <c r="P329" i="1" s="1"/>
  <c r="P330" i="1" a="1"/>
  <c r="P330" i="1" s="1"/>
  <c r="P331" i="1" a="1"/>
  <c r="P331" i="1" s="1"/>
  <c r="P332" i="1" a="1"/>
  <c r="P332" i="1" s="1"/>
  <c r="P333" i="1" a="1"/>
  <c r="P333" i="1" s="1"/>
  <c r="P334" i="1" a="1"/>
  <c r="P334" i="1" s="1"/>
  <c r="P335" i="1" a="1"/>
  <c r="P335" i="1" s="1"/>
  <c r="P336" i="1" a="1"/>
  <c r="P336" i="1" s="1"/>
  <c r="P337" i="1" a="1"/>
  <c r="P337" i="1" s="1"/>
  <c r="P338" i="1" a="1"/>
  <c r="P338" i="1" s="1"/>
  <c r="P339" i="1" a="1"/>
  <c r="P339" i="1" s="1"/>
  <c r="P340" i="1" a="1"/>
  <c r="P340" i="1" s="1"/>
  <c r="P341" i="1" a="1"/>
  <c r="P341" i="1" s="1"/>
  <c r="P342" i="1" a="1"/>
  <c r="P342" i="1" s="1"/>
  <c r="P343" i="1" a="1"/>
  <c r="P343" i="1" s="1"/>
  <c r="P344" i="1" a="1"/>
  <c r="P344" i="1" s="1"/>
  <c r="P345" i="1" a="1"/>
  <c r="P345" i="1" s="1"/>
  <c r="P346" i="1" a="1"/>
  <c r="P346" i="1" s="1"/>
  <c r="P347" i="1" a="1"/>
  <c r="P347" i="1" s="1"/>
  <c r="P348" i="1" a="1"/>
  <c r="P348" i="1" s="1"/>
  <c r="P349" i="1" a="1"/>
  <c r="P349" i="1" s="1"/>
  <c r="P350" i="1" a="1"/>
  <c r="P350" i="1" s="1"/>
  <c r="P351" i="1" a="1"/>
  <c r="P351" i="1" s="1"/>
  <c r="P352" i="1" a="1"/>
  <c r="P352" i="1" s="1"/>
  <c r="P353" i="1" a="1"/>
  <c r="P353" i="1" s="1"/>
  <c r="P354" i="1" a="1"/>
  <c r="P354" i="1" s="1"/>
  <c r="P355" i="1" a="1"/>
  <c r="P355" i="1" s="1"/>
  <c r="P356" i="1" a="1"/>
  <c r="P356" i="1" s="1"/>
  <c r="P357" i="1" a="1"/>
  <c r="P357" i="1" s="1"/>
  <c r="P358" i="1" a="1"/>
  <c r="P358" i="1" s="1"/>
  <c r="P359" i="1" a="1"/>
  <c r="P359" i="1" s="1"/>
  <c r="P360" i="1" a="1"/>
  <c r="P360" i="1" s="1"/>
  <c r="P361" i="1" a="1"/>
  <c r="P361" i="1" s="1"/>
  <c r="P362" i="1" a="1"/>
  <c r="P362" i="1" s="1"/>
  <c r="P363" i="1" a="1"/>
  <c r="P363" i="1" s="1"/>
  <c r="P364" i="1" a="1"/>
  <c r="P364" i="1" s="1"/>
  <c r="P365" i="1" a="1"/>
  <c r="P365" i="1" s="1"/>
  <c r="P366" i="1" a="1"/>
  <c r="P366" i="1" s="1"/>
  <c r="P367" i="1" a="1"/>
  <c r="P367" i="1" s="1"/>
  <c r="P368" i="1" a="1"/>
  <c r="P368" i="1" s="1"/>
  <c r="P369" i="1" a="1"/>
  <c r="P369" i="1" s="1"/>
  <c r="P370" i="1" a="1"/>
  <c r="P370" i="1" s="1"/>
  <c r="P371" i="1" a="1"/>
  <c r="P371" i="1" s="1"/>
  <c r="P372" i="1" a="1"/>
  <c r="P372" i="1" s="1"/>
  <c r="P373" i="1" a="1"/>
  <c r="P373" i="1" s="1"/>
  <c r="P374" i="1" a="1"/>
  <c r="P374" i="1" s="1"/>
  <c r="P375" i="1" a="1"/>
  <c r="P375" i="1" s="1"/>
  <c r="P376" i="1" a="1"/>
  <c r="P376" i="1" s="1"/>
  <c r="P377" i="1" a="1"/>
  <c r="P377" i="1" s="1"/>
  <c r="P378" i="1" a="1"/>
  <c r="P378" i="1" s="1"/>
  <c r="P379" i="1" a="1"/>
  <c r="P379" i="1" s="1"/>
  <c r="P380" i="1" a="1"/>
  <c r="P380" i="1" s="1"/>
  <c r="P381" i="1" a="1"/>
  <c r="P381" i="1" s="1"/>
  <c r="P382" i="1" a="1"/>
  <c r="P382" i="1" s="1"/>
  <c r="P383" i="1" a="1"/>
  <c r="P383" i="1" s="1"/>
  <c r="P384" i="1" a="1"/>
  <c r="P384" i="1" s="1"/>
  <c r="P385" i="1" a="1"/>
  <c r="P385" i="1" s="1"/>
  <c r="P386" i="1" a="1"/>
  <c r="P386" i="1" s="1"/>
  <c r="P387" i="1" a="1"/>
  <c r="P387" i="1" s="1"/>
  <c r="P388" i="1" a="1"/>
  <c r="P388" i="1" s="1"/>
  <c r="P389" i="1" a="1"/>
  <c r="P389" i="1" s="1"/>
  <c r="P390" i="1" a="1"/>
  <c r="P390" i="1" s="1"/>
  <c r="P391" i="1" a="1"/>
  <c r="P391" i="1" s="1"/>
  <c r="P392" i="1" a="1"/>
  <c r="P392" i="1" s="1"/>
  <c r="P393" i="1" a="1"/>
  <c r="P393" i="1" s="1"/>
  <c r="P394" i="1" a="1"/>
  <c r="P394" i="1" s="1"/>
  <c r="P395" i="1" a="1"/>
  <c r="P395" i="1" s="1"/>
  <c r="P396" i="1" a="1"/>
  <c r="P396" i="1" s="1"/>
  <c r="P397" i="1" a="1"/>
  <c r="P397" i="1" s="1"/>
  <c r="P398" i="1" a="1"/>
  <c r="P398" i="1" s="1"/>
  <c r="P399" i="1" a="1"/>
  <c r="P399" i="1" s="1"/>
  <c r="P400" i="1" a="1"/>
  <c r="P400" i="1" s="1"/>
  <c r="P401" i="1" a="1"/>
  <c r="P401" i="1" s="1"/>
  <c r="P402" i="1" a="1"/>
  <c r="P402" i="1" s="1"/>
  <c r="P403" i="1" a="1"/>
  <c r="P403" i="1" s="1"/>
  <c r="P404" i="1" a="1"/>
  <c r="P404" i="1" s="1"/>
  <c r="P405" i="1" a="1"/>
  <c r="P405" i="1" s="1"/>
  <c r="P406" i="1" a="1"/>
  <c r="P406" i="1" s="1"/>
  <c r="P407" i="1" a="1"/>
  <c r="P407" i="1" s="1"/>
  <c r="P408" i="1" a="1"/>
  <c r="P408" i="1" s="1"/>
  <c r="P409" i="1" a="1"/>
  <c r="P409" i="1" s="1"/>
  <c r="P410" i="1" a="1"/>
  <c r="P410" i="1" s="1"/>
  <c r="P411" i="1" a="1"/>
  <c r="P411" i="1" s="1"/>
  <c r="P412" i="1" a="1"/>
  <c r="P412" i="1" s="1"/>
  <c r="P413" i="1" a="1"/>
  <c r="P413" i="1" s="1"/>
  <c r="P414" i="1" a="1"/>
  <c r="P414" i="1" s="1"/>
  <c r="P415" i="1" a="1"/>
  <c r="P415" i="1" s="1"/>
  <c r="P416" i="1" a="1"/>
  <c r="P416" i="1" s="1"/>
  <c r="P417" i="1" a="1"/>
  <c r="P417" i="1" s="1"/>
  <c r="P418" i="1" a="1"/>
  <c r="P418" i="1" s="1"/>
  <c r="P419" i="1" a="1"/>
  <c r="P419" i="1" s="1"/>
  <c r="P420" i="1" a="1"/>
  <c r="P420" i="1" s="1"/>
  <c r="P421" i="1" a="1"/>
  <c r="P421" i="1" s="1"/>
  <c r="P422" i="1" a="1"/>
  <c r="P422" i="1" s="1"/>
  <c r="P423" i="1" a="1"/>
  <c r="P423" i="1" s="1"/>
  <c r="P424" i="1" a="1"/>
  <c r="P424" i="1" s="1"/>
  <c r="P425" i="1" a="1"/>
  <c r="P425" i="1" s="1"/>
  <c r="P426" i="1" a="1"/>
  <c r="P426" i="1" s="1"/>
  <c r="P427" i="1" a="1"/>
  <c r="P427" i="1" s="1"/>
  <c r="P428" i="1" a="1"/>
  <c r="P428" i="1" s="1"/>
  <c r="P429" i="1" a="1"/>
  <c r="P429" i="1" s="1"/>
  <c r="P430" i="1" a="1"/>
  <c r="P430" i="1" s="1"/>
  <c r="P431" i="1" a="1"/>
  <c r="P431" i="1" s="1"/>
  <c r="P432" i="1" a="1"/>
  <c r="P432" i="1" s="1"/>
  <c r="P433" i="1" a="1"/>
  <c r="P433" i="1" s="1"/>
  <c r="P434" i="1" a="1"/>
  <c r="P434" i="1" s="1"/>
  <c r="P435" i="1" a="1"/>
  <c r="P435" i="1" s="1"/>
  <c r="P436" i="1" a="1"/>
  <c r="P436" i="1" s="1"/>
  <c r="P437" i="1" a="1"/>
  <c r="P437" i="1" s="1"/>
  <c r="P438" i="1" a="1"/>
  <c r="P438" i="1" s="1"/>
  <c r="P439" i="1" a="1"/>
  <c r="P439" i="1" s="1"/>
  <c r="P440" i="1" a="1"/>
  <c r="P440" i="1" s="1"/>
  <c r="P441" i="1" a="1"/>
  <c r="P441" i="1" s="1"/>
  <c r="P442" i="1" a="1"/>
  <c r="P442" i="1" s="1"/>
  <c r="P443" i="1" a="1"/>
  <c r="P443" i="1" s="1"/>
  <c r="P444" i="1" a="1"/>
  <c r="P444" i="1" s="1"/>
  <c r="P445" i="1" a="1"/>
  <c r="P445" i="1" s="1"/>
  <c r="P446" i="1" a="1"/>
  <c r="P446" i="1" s="1"/>
  <c r="P447" i="1" a="1"/>
  <c r="P447" i="1" s="1"/>
  <c r="P448" i="1" a="1"/>
  <c r="P448" i="1" s="1"/>
  <c r="P449" i="1" a="1"/>
  <c r="P449" i="1" s="1"/>
  <c r="P450" i="1" a="1"/>
  <c r="P450" i="1" s="1"/>
  <c r="P451" i="1" a="1"/>
  <c r="P451" i="1" s="1"/>
  <c r="P452" i="1" a="1"/>
  <c r="P452" i="1" s="1"/>
  <c r="P453" i="1" a="1"/>
  <c r="P453" i="1" s="1"/>
  <c r="P454" i="1" a="1"/>
  <c r="P454" i="1" s="1"/>
  <c r="P455" i="1" a="1"/>
  <c r="P455" i="1" s="1"/>
  <c r="P456" i="1" a="1"/>
  <c r="P456" i="1" s="1"/>
  <c r="P457" i="1" a="1"/>
  <c r="P457" i="1" s="1"/>
  <c r="P458" i="1" a="1"/>
  <c r="P458" i="1" s="1"/>
  <c r="P459" i="1" a="1"/>
  <c r="P459" i="1" s="1"/>
  <c r="P460" i="1" a="1"/>
  <c r="P460" i="1" s="1"/>
  <c r="P461" i="1" a="1"/>
  <c r="P461" i="1" s="1"/>
  <c r="P462" i="1" a="1"/>
  <c r="P462" i="1" s="1"/>
  <c r="P463" i="1" a="1"/>
  <c r="P463" i="1" s="1"/>
  <c r="P464" i="1" a="1"/>
  <c r="P464" i="1" s="1"/>
  <c r="P465" i="1" a="1"/>
  <c r="P465" i="1" s="1"/>
  <c r="P466" i="1" a="1"/>
  <c r="P466" i="1" s="1"/>
  <c r="P467" i="1" a="1"/>
  <c r="P467" i="1" s="1"/>
  <c r="P468" i="1" a="1"/>
  <c r="P468" i="1" s="1"/>
  <c r="P469" i="1" a="1"/>
  <c r="P469" i="1" s="1"/>
  <c r="P470" i="1" a="1"/>
  <c r="P470" i="1" s="1"/>
  <c r="P471" i="1" a="1"/>
  <c r="P471" i="1" s="1"/>
  <c r="P472" i="1" a="1"/>
  <c r="P472" i="1" s="1"/>
  <c r="P473" i="1" a="1"/>
  <c r="P473" i="1" s="1"/>
  <c r="P474" i="1" a="1"/>
  <c r="P474" i="1" s="1"/>
  <c r="P475" i="1" a="1"/>
  <c r="P475" i="1" s="1"/>
  <c r="P476" i="1" a="1"/>
  <c r="P476" i="1" s="1"/>
  <c r="P477" i="1" a="1"/>
  <c r="P477" i="1" s="1"/>
  <c r="P478" i="1" a="1"/>
  <c r="P478" i="1" s="1"/>
  <c r="P479" i="1" a="1"/>
  <c r="P479" i="1" s="1"/>
  <c r="P480" i="1" a="1"/>
  <c r="P480" i="1" s="1"/>
  <c r="P481" i="1" a="1"/>
  <c r="P481" i="1" s="1"/>
  <c r="P482" i="1" a="1"/>
  <c r="P482" i="1" s="1"/>
  <c r="P483" i="1" a="1"/>
  <c r="P483" i="1" s="1"/>
  <c r="P484" i="1" a="1"/>
  <c r="P484" i="1" s="1"/>
  <c r="P485" i="1" a="1"/>
  <c r="P485" i="1" s="1"/>
  <c r="P486" i="1" a="1"/>
  <c r="P486" i="1" s="1"/>
  <c r="P487" i="1" a="1"/>
  <c r="P487" i="1" s="1"/>
  <c r="P488" i="1" a="1"/>
  <c r="P488" i="1" s="1"/>
  <c r="P489" i="1" a="1"/>
  <c r="P489" i="1" s="1"/>
  <c r="P490" i="1" a="1"/>
  <c r="P490" i="1" s="1"/>
  <c r="P491" i="1" a="1"/>
  <c r="P491" i="1" s="1"/>
  <c r="P492" i="1" a="1"/>
  <c r="P492" i="1" s="1"/>
  <c r="P493" i="1" a="1"/>
  <c r="P493" i="1" s="1"/>
  <c r="P494" i="1" a="1"/>
  <c r="P494" i="1" s="1"/>
  <c r="P495" i="1" a="1"/>
  <c r="P495" i="1" s="1"/>
  <c r="P496" i="1" a="1"/>
  <c r="P496" i="1" s="1"/>
  <c r="P497" i="1" a="1"/>
  <c r="P497" i="1" s="1"/>
  <c r="P498" i="1" a="1"/>
  <c r="P498" i="1" s="1"/>
  <c r="P499" i="1" a="1"/>
  <c r="P499" i="1" s="1"/>
  <c r="P500" i="1" a="1"/>
  <c r="P500" i="1" s="1"/>
  <c r="P501" i="1" a="1"/>
  <c r="P501" i="1" s="1"/>
  <c r="P502" i="1" a="1"/>
  <c r="P502" i="1" s="1"/>
  <c r="P503" i="1" a="1"/>
  <c r="P503" i="1" s="1"/>
  <c r="P504" i="1" a="1"/>
  <c r="P504" i="1" s="1"/>
  <c r="P505" i="1" a="1"/>
  <c r="P505" i="1" s="1"/>
  <c r="P506" i="1" a="1"/>
  <c r="P506" i="1" s="1"/>
  <c r="P507" i="1" a="1"/>
  <c r="P507" i="1" s="1"/>
  <c r="P508" i="1" a="1"/>
  <c r="P508" i="1" s="1"/>
  <c r="P509" i="1" a="1"/>
  <c r="P509" i="1" s="1"/>
  <c r="P510" i="1" a="1"/>
  <c r="P510" i="1" s="1"/>
  <c r="P511" i="1" a="1"/>
  <c r="P511" i="1" s="1"/>
  <c r="P512" i="1" a="1"/>
  <c r="P512" i="1" s="1"/>
  <c r="P513" i="1" a="1"/>
  <c r="P513" i="1" s="1"/>
  <c r="P514" i="1" a="1"/>
  <c r="P514" i="1" s="1"/>
  <c r="P515" i="1" a="1"/>
  <c r="P515" i="1" s="1"/>
  <c r="P516" i="1" a="1"/>
  <c r="P516" i="1" s="1"/>
  <c r="P517" i="1" a="1"/>
  <c r="P517" i="1" s="1"/>
  <c r="P518" i="1" a="1"/>
  <c r="P518" i="1" s="1"/>
  <c r="P519" i="1" a="1"/>
  <c r="P519" i="1" s="1"/>
  <c r="P520" i="1" a="1"/>
  <c r="P520" i="1" s="1"/>
  <c r="P521" i="1" a="1"/>
  <c r="P521" i="1" s="1"/>
  <c r="P522" i="1" a="1"/>
  <c r="P522" i="1" s="1"/>
  <c r="P523" i="1" a="1"/>
  <c r="P523" i="1" s="1"/>
  <c r="P524" i="1" a="1"/>
  <c r="P524" i="1" s="1"/>
  <c r="P525" i="1" a="1"/>
  <c r="P525" i="1" s="1"/>
  <c r="P526" i="1" a="1"/>
  <c r="P526" i="1" s="1"/>
  <c r="P527" i="1" a="1"/>
  <c r="P527" i="1" s="1"/>
  <c r="P528" i="1" a="1"/>
  <c r="P528" i="1" s="1"/>
  <c r="P529" i="1" a="1"/>
  <c r="P529" i="1" s="1"/>
  <c r="P530" i="1" a="1"/>
  <c r="P530" i="1" s="1"/>
  <c r="P531" i="1" a="1"/>
  <c r="P531" i="1" s="1"/>
  <c r="P532" i="1" a="1"/>
  <c r="P532" i="1" s="1"/>
  <c r="P533" i="1" a="1"/>
  <c r="P533" i="1" s="1"/>
  <c r="P534" i="1" a="1"/>
  <c r="P534" i="1" s="1"/>
  <c r="P535" i="1" a="1"/>
  <c r="P535" i="1" s="1"/>
  <c r="P536" i="1" a="1"/>
  <c r="P536" i="1" s="1"/>
  <c r="P537" i="1" a="1"/>
  <c r="P537" i="1" s="1"/>
  <c r="P538" i="1" a="1"/>
  <c r="P538" i="1" s="1"/>
  <c r="P539" i="1" a="1"/>
  <c r="P539" i="1" s="1"/>
  <c r="P540" i="1" a="1"/>
  <c r="P540" i="1" s="1"/>
  <c r="P541" i="1" a="1"/>
  <c r="P541" i="1" s="1"/>
  <c r="P542" i="1" a="1"/>
  <c r="P542" i="1" s="1"/>
  <c r="P543" i="1" a="1"/>
  <c r="P543" i="1" s="1"/>
  <c r="P544" i="1" a="1"/>
  <c r="P544" i="1" s="1"/>
  <c r="P545" i="1" a="1"/>
  <c r="P545" i="1" s="1"/>
  <c r="P546" i="1" a="1"/>
  <c r="P546" i="1" s="1"/>
  <c r="P547" i="1" a="1"/>
  <c r="P547" i="1" s="1"/>
  <c r="P548" i="1" a="1"/>
  <c r="P548" i="1" s="1"/>
  <c r="P549" i="1" a="1"/>
  <c r="P549" i="1" s="1"/>
  <c r="P550" i="1" a="1"/>
  <c r="P550" i="1" s="1"/>
  <c r="P551" i="1" a="1"/>
  <c r="P551" i="1" s="1"/>
  <c r="P552" i="1" a="1"/>
  <c r="P552" i="1" s="1"/>
  <c r="P553" i="1" a="1"/>
  <c r="P553" i="1" s="1"/>
  <c r="P554" i="1" a="1"/>
  <c r="P554" i="1" s="1"/>
  <c r="P555" i="1" a="1"/>
  <c r="P555" i="1" s="1"/>
  <c r="P556" i="1" a="1"/>
  <c r="P556" i="1" s="1"/>
  <c r="P557" i="1" a="1"/>
  <c r="P557" i="1" s="1"/>
  <c r="P558" i="1" a="1"/>
  <c r="P558" i="1" s="1"/>
  <c r="P559" i="1" a="1"/>
  <c r="P559" i="1" s="1"/>
  <c r="P560" i="1" a="1"/>
  <c r="P560" i="1" s="1"/>
  <c r="P561" i="1" a="1"/>
  <c r="P561" i="1" s="1"/>
  <c r="P562" i="1" a="1"/>
  <c r="P562" i="1" s="1"/>
  <c r="P563" i="1" a="1"/>
  <c r="P563" i="1" s="1"/>
  <c r="P564" i="1" a="1"/>
  <c r="P564" i="1" s="1"/>
  <c r="P565" i="1" a="1"/>
  <c r="P565" i="1" s="1"/>
  <c r="P566" i="1" a="1"/>
  <c r="P566" i="1" s="1"/>
  <c r="P567" i="1" a="1"/>
  <c r="P567" i="1" s="1"/>
  <c r="P568" i="1" a="1"/>
  <c r="P568" i="1" s="1"/>
  <c r="P569" i="1" a="1"/>
  <c r="P569" i="1" s="1"/>
  <c r="P570" i="1" a="1"/>
  <c r="P570" i="1" s="1"/>
  <c r="P571" i="1" a="1"/>
  <c r="P571" i="1" s="1"/>
  <c r="P572" i="1" a="1"/>
  <c r="P572" i="1" s="1"/>
  <c r="P573" i="1" a="1"/>
  <c r="P573" i="1" s="1"/>
  <c r="P574" i="1" a="1"/>
  <c r="P574" i="1" s="1"/>
  <c r="P575" i="1" a="1"/>
  <c r="P575" i="1" s="1"/>
  <c r="P576" i="1" a="1"/>
  <c r="P576" i="1" s="1"/>
  <c r="P577" i="1" a="1"/>
  <c r="P577" i="1" s="1"/>
  <c r="P578" i="1" a="1"/>
  <c r="P578" i="1" s="1"/>
  <c r="P579" i="1" a="1"/>
  <c r="P579" i="1" s="1"/>
  <c r="P580" i="1" a="1"/>
  <c r="P580" i="1" s="1"/>
  <c r="P581" i="1" a="1"/>
  <c r="P581" i="1" s="1"/>
  <c r="P582" i="1" a="1"/>
  <c r="P582" i="1" s="1"/>
  <c r="P583" i="1" a="1"/>
  <c r="P583" i="1" s="1"/>
  <c r="P584" i="1" a="1"/>
  <c r="P584" i="1" s="1"/>
  <c r="P585" i="1" a="1"/>
  <c r="P585" i="1" s="1"/>
  <c r="P586" i="1" a="1"/>
  <c r="P586" i="1" s="1"/>
  <c r="P587" i="1" a="1"/>
  <c r="P587" i="1" s="1"/>
  <c r="P588" i="1" a="1"/>
  <c r="P588" i="1" s="1"/>
  <c r="P589" i="1" a="1"/>
  <c r="P589" i="1" s="1"/>
  <c r="P590" i="1" a="1"/>
  <c r="P590" i="1" s="1"/>
  <c r="P591" i="1" a="1"/>
  <c r="P591" i="1" s="1"/>
  <c r="P592" i="1" a="1"/>
  <c r="P592" i="1" s="1"/>
  <c r="P593" i="1" a="1"/>
  <c r="P593" i="1" s="1"/>
  <c r="P594" i="1" a="1"/>
  <c r="P594" i="1" s="1"/>
  <c r="P595" i="1" a="1"/>
  <c r="P595" i="1" s="1"/>
  <c r="P596" i="1" a="1"/>
  <c r="P596" i="1" s="1"/>
  <c r="P597" i="1" a="1"/>
  <c r="P597" i="1" s="1"/>
  <c r="P598" i="1" a="1"/>
  <c r="P598" i="1" s="1"/>
  <c r="P599" i="1" a="1"/>
  <c r="P599" i="1" s="1"/>
  <c r="P600" i="1" a="1"/>
  <c r="P600" i="1" s="1"/>
  <c r="P601" i="1" a="1"/>
  <c r="P601" i="1" s="1"/>
  <c r="P602" i="1" a="1"/>
  <c r="P602" i="1" s="1"/>
  <c r="P603" i="1" a="1"/>
  <c r="P603" i="1" s="1"/>
  <c r="P604" i="1" a="1"/>
  <c r="P604" i="1" s="1"/>
  <c r="P605" i="1" a="1"/>
  <c r="P605" i="1" s="1"/>
  <c r="P606" i="1" a="1"/>
  <c r="P606" i="1" s="1"/>
  <c r="P607" i="1" a="1"/>
  <c r="P607" i="1" s="1"/>
  <c r="P608" i="1" a="1"/>
  <c r="P608" i="1" s="1"/>
  <c r="P609" i="1" a="1"/>
  <c r="P609" i="1" s="1"/>
  <c r="P610" i="1" a="1"/>
  <c r="P610" i="1" s="1"/>
  <c r="P611" i="1" a="1"/>
  <c r="P611" i="1" s="1"/>
  <c r="P612" i="1" a="1"/>
  <c r="P612" i="1" s="1"/>
  <c r="P613" i="1" a="1"/>
  <c r="P613" i="1" s="1"/>
  <c r="P614" i="1" a="1"/>
  <c r="P614" i="1" s="1"/>
  <c r="P615" i="1" a="1"/>
  <c r="P615" i="1" s="1"/>
  <c r="P616" i="1" a="1"/>
  <c r="P616" i="1" s="1"/>
  <c r="P617" i="1" a="1"/>
  <c r="P617" i="1" s="1"/>
  <c r="P618" i="1" a="1"/>
  <c r="P618" i="1" s="1"/>
  <c r="P619" i="1" a="1"/>
  <c r="P619" i="1" s="1"/>
  <c r="P620" i="1" a="1"/>
  <c r="P620" i="1" s="1"/>
  <c r="P621" i="1" a="1"/>
  <c r="P621" i="1" s="1"/>
  <c r="P622" i="1" a="1"/>
  <c r="P622" i="1" s="1"/>
  <c r="P623" i="1" a="1"/>
  <c r="P623" i="1" s="1"/>
  <c r="P624" i="1" a="1"/>
  <c r="P624" i="1" s="1"/>
  <c r="P625" i="1" a="1"/>
  <c r="P625" i="1" s="1"/>
  <c r="P626" i="1" a="1"/>
  <c r="P626" i="1" s="1"/>
  <c r="P627" i="1" a="1"/>
  <c r="P627" i="1" s="1"/>
  <c r="P628" i="1" a="1"/>
  <c r="P628" i="1" s="1"/>
  <c r="P629" i="1" a="1"/>
  <c r="P629" i="1" s="1"/>
  <c r="P630" i="1" a="1"/>
  <c r="P630" i="1" s="1"/>
  <c r="P631" i="1" a="1"/>
  <c r="P631" i="1" s="1"/>
  <c r="P632" i="1" a="1"/>
  <c r="P632" i="1" s="1"/>
  <c r="P633" i="1" a="1"/>
  <c r="P633" i="1" s="1"/>
  <c r="P634" i="1" a="1"/>
  <c r="P634" i="1" s="1"/>
  <c r="P635" i="1" a="1"/>
  <c r="P635" i="1" s="1"/>
  <c r="P636" i="1" a="1"/>
  <c r="P636" i="1" s="1"/>
  <c r="P637" i="1" a="1"/>
  <c r="P637" i="1" s="1"/>
  <c r="P638" i="1" a="1"/>
  <c r="P638" i="1" s="1"/>
  <c r="P639" i="1" a="1"/>
  <c r="P639" i="1" s="1"/>
  <c r="P640" i="1" a="1"/>
  <c r="P640" i="1" s="1"/>
  <c r="P641" i="1" a="1"/>
  <c r="P641" i="1" s="1"/>
  <c r="P642" i="1" a="1"/>
  <c r="P642" i="1" s="1"/>
  <c r="P643" i="1" a="1"/>
  <c r="P643" i="1" s="1"/>
  <c r="P644" i="1" a="1"/>
  <c r="P644" i="1" s="1"/>
  <c r="P645" i="1" a="1"/>
  <c r="P645" i="1" s="1"/>
  <c r="P646" i="1" a="1"/>
  <c r="P646" i="1" s="1"/>
  <c r="P647" i="1" a="1"/>
  <c r="P647" i="1" s="1"/>
  <c r="P648" i="1" a="1"/>
  <c r="P648" i="1" s="1"/>
  <c r="P649" i="1" a="1"/>
  <c r="P649" i="1" s="1"/>
  <c r="P650" i="1" a="1"/>
  <c r="P650" i="1" s="1"/>
  <c r="P651" i="1" a="1"/>
  <c r="P651" i="1" s="1"/>
  <c r="P652" i="1" a="1"/>
  <c r="P652" i="1" s="1"/>
  <c r="P653" i="1" a="1"/>
  <c r="P653" i="1" s="1"/>
  <c r="P654" i="1" a="1"/>
  <c r="P654" i="1" s="1"/>
  <c r="P655" i="1" a="1"/>
  <c r="P655" i="1" s="1"/>
  <c r="P656" i="1" a="1"/>
  <c r="P656" i="1" s="1"/>
  <c r="P657" i="1" a="1"/>
  <c r="P657" i="1" s="1"/>
  <c r="P658" i="1" a="1"/>
  <c r="P658" i="1" s="1"/>
  <c r="P659" i="1" a="1"/>
  <c r="P659" i="1" s="1"/>
  <c r="P660" i="1" a="1"/>
  <c r="P660" i="1" s="1"/>
  <c r="P661" i="1" a="1"/>
  <c r="P661" i="1" s="1"/>
  <c r="P662" i="1" a="1"/>
  <c r="P662" i="1" s="1"/>
  <c r="P663" i="1" a="1"/>
  <c r="P663" i="1" s="1"/>
  <c r="P664" i="1" a="1"/>
  <c r="P664" i="1" s="1"/>
  <c r="P665" i="1" a="1"/>
  <c r="P665" i="1" s="1"/>
  <c r="P666" i="1" a="1"/>
  <c r="P666" i="1" s="1"/>
  <c r="P667" i="1" a="1"/>
  <c r="P667" i="1" s="1"/>
  <c r="P668" i="1" a="1"/>
  <c r="P668" i="1" s="1"/>
  <c r="P669" i="1" a="1"/>
  <c r="P669" i="1" s="1"/>
  <c r="P670" i="1" a="1"/>
  <c r="P670" i="1" s="1"/>
  <c r="P671" i="1" a="1"/>
  <c r="P671" i="1" s="1"/>
  <c r="P672" i="1" a="1"/>
  <c r="P672" i="1" s="1"/>
  <c r="P673" i="1" a="1"/>
  <c r="P673" i="1" s="1"/>
  <c r="P674" i="1" a="1"/>
  <c r="P674" i="1" s="1"/>
  <c r="P675" i="1" a="1"/>
  <c r="P675" i="1" s="1"/>
  <c r="P676" i="1" a="1"/>
  <c r="P676" i="1" s="1"/>
  <c r="P677" i="1" a="1"/>
  <c r="P677" i="1" s="1"/>
  <c r="P678" i="1" a="1"/>
  <c r="P678" i="1" s="1"/>
  <c r="P679" i="1" a="1"/>
  <c r="P679" i="1" s="1"/>
  <c r="P680" i="1" a="1"/>
  <c r="P680" i="1" s="1"/>
  <c r="P681" i="1" a="1"/>
  <c r="P681" i="1" s="1"/>
  <c r="P682" i="1" a="1"/>
  <c r="P682" i="1" s="1"/>
  <c r="P683" i="1" a="1"/>
  <c r="P683" i="1" s="1"/>
  <c r="P684" i="1" a="1"/>
  <c r="P684" i="1" s="1"/>
  <c r="P685" i="1" a="1"/>
  <c r="P685" i="1" s="1"/>
  <c r="P686" i="1" a="1"/>
  <c r="P686" i="1" s="1"/>
  <c r="P687" i="1" a="1"/>
  <c r="P687" i="1" s="1"/>
  <c r="P688" i="1" a="1"/>
  <c r="P688" i="1" s="1"/>
  <c r="P689" i="1" a="1"/>
  <c r="P689" i="1" s="1"/>
  <c r="P690" i="1" a="1"/>
  <c r="P690" i="1" s="1"/>
  <c r="P691" i="1" a="1"/>
  <c r="P691" i="1" s="1"/>
  <c r="P692" i="1" a="1"/>
  <c r="P692" i="1" s="1"/>
  <c r="P693" i="1" a="1"/>
  <c r="P693" i="1" s="1"/>
  <c r="P694" i="1" a="1"/>
  <c r="P694" i="1" s="1"/>
  <c r="P695" i="1" a="1"/>
  <c r="P695" i="1" s="1"/>
  <c r="P696" i="1" a="1"/>
  <c r="P696" i="1" s="1"/>
  <c r="P697" i="1" a="1"/>
  <c r="P697" i="1" s="1"/>
  <c r="P698" i="1" a="1"/>
  <c r="P698" i="1" s="1"/>
  <c r="P699" i="1" a="1"/>
  <c r="P699" i="1" s="1"/>
  <c r="P700" i="1" a="1"/>
  <c r="P700" i="1" s="1"/>
  <c r="P701" i="1" a="1"/>
  <c r="P701" i="1" s="1"/>
  <c r="P702" i="1" a="1"/>
  <c r="P702" i="1" s="1"/>
  <c r="P703" i="1" a="1"/>
  <c r="P703" i="1" s="1"/>
  <c r="P704" i="1" a="1"/>
  <c r="P704" i="1" s="1"/>
  <c r="P705" i="1" a="1"/>
  <c r="P705" i="1" s="1"/>
  <c r="P706" i="1" a="1"/>
  <c r="P706" i="1" s="1"/>
  <c r="P707" i="1" a="1"/>
  <c r="P707" i="1" s="1"/>
  <c r="P708" i="1" a="1"/>
  <c r="P708" i="1" s="1"/>
  <c r="P709" i="1" a="1"/>
  <c r="P709" i="1" s="1"/>
  <c r="P710" i="1" a="1"/>
  <c r="P710" i="1" s="1"/>
  <c r="P711" i="1" a="1"/>
  <c r="P711" i="1" s="1"/>
  <c r="P712" i="1" a="1"/>
  <c r="P712" i="1" s="1"/>
  <c r="P713" i="1" a="1"/>
  <c r="P713" i="1" s="1"/>
  <c r="P714" i="1" a="1"/>
  <c r="P714" i="1" s="1"/>
  <c r="P715" i="1" a="1"/>
  <c r="P715" i="1" s="1"/>
  <c r="P716" i="1" a="1"/>
  <c r="P716" i="1" s="1"/>
  <c r="P717" i="1" a="1"/>
  <c r="P717" i="1" s="1"/>
  <c r="P718" i="1" a="1"/>
  <c r="P718" i="1" s="1"/>
  <c r="P719" i="1" a="1"/>
  <c r="P719" i="1" s="1"/>
  <c r="P720" i="1" a="1"/>
  <c r="P720" i="1" s="1"/>
  <c r="P721" i="1" a="1"/>
  <c r="P721" i="1" s="1"/>
  <c r="P722" i="1" a="1"/>
  <c r="P722" i="1" s="1"/>
  <c r="P723" i="1" a="1"/>
  <c r="P723" i="1" s="1"/>
  <c r="P724" i="1" a="1"/>
  <c r="P724" i="1" s="1"/>
  <c r="P725" i="1" a="1"/>
  <c r="P725" i="1" s="1"/>
  <c r="P726" i="1" a="1"/>
  <c r="P726" i="1" s="1"/>
  <c r="P727" i="1" a="1"/>
  <c r="P727" i="1" s="1"/>
  <c r="P728" i="1" a="1"/>
  <c r="P728" i="1" s="1"/>
  <c r="P729" i="1" a="1"/>
  <c r="P729" i="1" s="1"/>
  <c r="P730" i="1" a="1"/>
  <c r="P730" i="1" s="1"/>
  <c r="P731" i="1" a="1"/>
  <c r="P731" i="1" s="1"/>
  <c r="P732" i="1" a="1"/>
  <c r="P732" i="1" s="1"/>
  <c r="P733" i="1" a="1"/>
  <c r="P733" i="1" s="1"/>
  <c r="P734" i="1" a="1"/>
  <c r="P734" i="1" s="1"/>
  <c r="P735" i="1" a="1"/>
  <c r="P735" i="1" s="1"/>
  <c r="P736" i="1" a="1"/>
  <c r="P736" i="1" s="1"/>
  <c r="P737" i="1" a="1"/>
  <c r="P737" i="1" s="1"/>
  <c r="P738" i="1" a="1"/>
  <c r="P738" i="1" s="1"/>
  <c r="P739" i="1" a="1"/>
  <c r="P739" i="1" s="1"/>
  <c r="P740" i="1" a="1"/>
  <c r="P740" i="1" s="1"/>
  <c r="P741" i="1" a="1"/>
  <c r="P741" i="1" s="1"/>
  <c r="P742" i="1" a="1"/>
  <c r="P742" i="1" s="1"/>
  <c r="P743" i="1" a="1"/>
  <c r="P743" i="1" s="1"/>
  <c r="P744" i="1" a="1"/>
  <c r="P744" i="1" s="1"/>
  <c r="P745" i="1" a="1"/>
  <c r="P745" i="1" s="1"/>
  <c r="P746" i="1" a="1"/>
  <c r="P746" i="1" s="1"/>
  <c r="P747" i="1" a="1"/>
  <c r="P747" i="1" s="1"/>
  <c r="P748" i="1" a="1"/>
  <c r="P748" i="1" s="1"/>
  <c r="P749" i="1" a="1"/>
  <c r="P749" i="1" s="1"/>
  <c r="P750" i="1" a="1"/>
  <c r="P750" i="1" s="1"/>
  <c r="P751" i="1" a="1"/>
  <c r="P751" i="1" s="1"/>
  <c r="P752" i="1" a="1"/>
  <c r="P752" i="1" s="1"/>
  <c r="P753" i="1" a="1"/>
  <c r="P753" i="1" s="1"/>
  <c r="P754" i="1" a="1"/>
  <c r="P754" i="1" s="1"/>
  <c r="P755" i="1" a="1"/>
  <c r="P755" i="1" s="1"/>
  <c r="P756" i="1" a="1"/>
  <c r="P756" i="1" s="1"/>
  <c r="P757" i="1" a="1"/>
  <c r="P757" i="1" s="1"/>
  <c r="P758" i="1" a="1"/>
  <c r="P758" i="1" s="1"/>
  <c r="P759" i="1" a="1"/>
  <c r="P759" i="1" s="1"/>
  <c r="P760" i="1" a="1"/>
  <c r="P760" i="1" s="1"/>
  <c r="P761" i="1" a="1"/>
  <c r="P761" i="1" s="1"/>
  <c r="P762" i="1" a="1"/>
  <c r="P762" i="1" s="1"/>
  <c r="P763" i="1" a="1"/>
  <c r="P763" i="1" s="1"/>
  <c r="P764" i="1" a="1"/>
  <c r="P764" i="1" s="1"/>
  <c r="P765" i="1" a="1"/>
  <c r="P765" i="1" s="1"/>
  <c r="P766" i="1" a="1"/>
  <c r="P766" i="1" s="1"/>
  <c r="P767" i="1" a="1"/>
  <c r="P767" i="1" s="1"/>
  <c r="P768" i="1" a="1"/>
  <c r="P768" i="1" s="1"/>
  <c r="P769" i="1" a="1"/>
  <c r="P769" i="1" s="1"/>
  <c r="P770" i="1" a="1"/>
  <c r="P770" i="1" s="1"/>
  <c r="P771" i="1" a="1"/>
  <c r="P771" i="1" s="1"/>
  <c r="P772" i="1" a="1"/>
  <c r="P772" i="1" s="1"/>
  <c r="P773" i="1" a="1"/>
  <c r="P773" i="1" s="1"/>
  <c r="P774" i="1" a="1"/>
  <c r="P774" i="1" s="1"/>
  <c r="P775" i="1" a="1"/>
  <c r="P775" i="1" s="1"/>
  <c r="P776" i="1" a="1"/>
  <c r="P776" i="1" s="1"/>
  <c r="P777" i="1" a="1"/>
  <c r="P777" i="1" s="1"/>
  <c r="P778" i="1" a="1"/>
  <c r="P778" i="1" s="1"/>
  <c r="P779" i="1" a="1"/>
  <c r="P779" i="1" s="1"/>
  <c r="P780" i="1" a="1"/>
  <c r="P780" i="1" s="1"/>
  <c r="P781" i="1" a="1"/>
  <c r="P781" i="1" s="1"/>
  <c r="P782" i="1" a="1"/>
  <c r="P782" i="1" s="1"/>
  <c r="P783" i="1" a="1"/>
  <c r="P783" i="1" s="1"/>
  <c r="P784" i="1" a="1"/>
  <c r="P784" i="1" s="1"/>
  <c r="P785" i="1" a="1"/>
  <c r="P785" i="1" s="1"/>
  <c r="P786" i="1" a="1"/>
  <c r="P786" i="1" s="1"/>
  <c r="P787" i="1" a="1"/>
  <c r="P787" i="1" s="1"/>
  <c r="P788" i="1" a="1"/>
  <c r="P788" i="1" s="1"/>
  <c r="P789" i="1" a="1"/>
  <c r="P789" i="1" s="1"/>
  <c r="P790" i="1" a="1"/>
  <c r="P790" i="1" s="1"/>
  <c r="P791" i="1" a="1"/>
  <c r="P791" i="1" s="1"/>
  <c r="P792" i="1" a="1"/>
  <c r="P792" i="1" s="1"/>
  <c r="P793" i="1" a="1"/>
  <c r="P793" i="1" s="1"/>
  <c r="P794" i="1" a="1"/>
  <c r="P794" i="1" s="1"/>
  <c r="P795" i="1" a="1"/>
  <c r="P795" i="1" s="1"/>
  <c r="P796" i="1" a="1"/>
  <c r="P796" i="1" s="1"/>
  <c r="P797" i="1" a="1"/>
  <c r="P797" i="1" s="1"/>
  <c r="P798" i="1" a="1"/>
  <c r="P798" i="1" s="1"/>
  <c r="P799" i="1" a="1"/>
  <c r="P799" i="1" s="1"/>
  <c r="P800" i="1" a="1"/>
  <c r="P800" i="1" s="1"/>
  <c r="P801" i="1" a="1"/>
  <c r="P801" i="1" s="1"/>
  <c r="P802" i="1" a="1"/>
  <c r="P802" i="1" s="1"/>
  <c r="P803" i="1" a="1"/>
  <c r="P803" i="1" s="1"/>
  <c r="P804" i="1" a="1"/>
  <c r="P804" i="1" s="1"/>
  <c r="P805" i="1" a="1"/>
  <c r="P805" i="1" s="1"/>
  <c r="P806" i="1" a="1"/>
  <c r="P806" i="1" s="1"/>
  <c r="P807" i="1" a="1"/>
  <c r="P807" i="1" s="1"/>
  <c r="P808" i="1" a="1"/>
  <c r="P808" i="1" s="1"/>
  <c r="P809" i="1" a="1"/>
  <c r="P809" i="1" s="1"/>
  <c r="P810" i="1" a="1"/>
  <c r="P810" i="1" s="1"/>
  <c r="P811" i="1" a="1"/>
  <c r="P811" i="1" s="1"/>
  <c r="P812" i="1" a="1"/>
  <c r="P812" i="1" s="1"/>
  <c r="P813" i="1" a="1"/>
  <c r="P813" i="1" s="1"/>
  <c r="P814" i="1" a="1"/>
  <c r="P814" i="1" s="1"/>
  <c r="P815" i="1" a="1"/>
  <c r="P815" i="1" s="1"/>
  <c r="P816" i="1" a="1"/>
  <c r="P816" i="1" s="1"/>
  <c r="P817" i="1" a="1"/>
  <c r="P817" i="1" s="1"/>
  <c r="P818" i="1" a="1"/>
  <c r="P818" i="1" s="1"/>
  <c r="P819" i="1" a="1"/>
  <c r="P819" i="1" s="1"/>
  <c r="P820" i="1" a="1"/>
  <c r="P820" i="1" s="1"/>
  <c r="P821" i="1" a="1"/>
  <c r="P821" i="1" s="1"/>
  <c r="P822" i="1" a="1"/>
  <c r="P822" i="1" s="1"/>
  <c r="P823" i="1" a="1"/>
  <c r="P823" i="1" s="1"/>
  <c r="P824" i="1" a="1"/>
  <c r="P824" i="1" s="1"/>
  <c r="P825" i="1" a="1"/>
  <c r="P825" i="1" s="1"/>
  <c r="P826" i="1" a="1"/>
  <c r="P826" i="1" s="1"/>
  <c r="P827" i="1" a="1"/>
  <c r="P827" i="1" s="1"/>
  <c r="P828" i="1" a="1"/>
  <c r="P828" i="1" s="1"/>
  <c r="P829" i="1" a="1"/>
  <c r="P829" i="1" s="1"/>
  <c r="P830" i="1" a="1"/>
  <c r="P830" i="1" s="1"/>
  <c r="P831" i="1" a="1"/>
  <c r="P831" i="1" s="1"/>
  <c r="P832" i="1" a="1"/>
  <c r="P832" i="1" s="1"/>
  <c r="P833" i="1" a="1"/>
  <c r="P833" i="1" s="1"/>
  <c r="P834" i="1" a="1"/>
  <c r="P834" i="1" s="1"/>
  <c r="P835" i="1" a="1"/>
  <c r="P835" i="1" s="1"/>
  <c r="P836" i="1" a="1"/>
  <c r="P836" i="1" s="1"/>
  <c r="P837" i="1" a="1"/>
  <c r="P837" i="1" s="1"/>
  <c r="P838" i="1" a="1"/>
  <c r="P838" i="1" s="1"/>
  <c r="P839" i="1" a="1"/>
  <c r="P839" i="1" s="1"/>
  <c r="P840" i="1" a="1"/>
  <c r="P840" i="1" s="1"/>
  <c r="P841" i="1" a="1"/>
  <c r="P841" i="1" s="1"/>
  <c r="P842" i="1" a="1"/>
  <c r="P842" i="1" s="1"/>
  <c r="P843" i="1" a="1"/>
  <c r="P843" i="1" s="1"/>
  <c r="P844" i="1" a="1"/>
  <c r="P844" i="1" s="1"/>
  <c r="P845" i="1" a="1"/>
  <c r="P845" i="1" s="1"/>
  <c r="P846" i="1" a="1"/>
  <c r="P846" i="1" s="1"/>
  <c r="P847" i="1" a="1"/>
  <c r="P847" i="1" s="1"/>
  <c r="P848" i="1" a="1"/>
  <c r="P848" i="1" s="1"/>
  <c r="P849" i="1" a="1"/>
  <c r="P849" i="1" s="1"/>
  <c r="P850" i="1" a="1"/>
  <c r="P850" i="1" s="1"/>
  <c r="P851" i="1" a="1"/>
  <c r="P851" i="1" s="1"/>
  <c r="P852" i="1" a="1"/>
  <c r="P852" i="1" s="1"/>
  <c r="P853" i="1" a="1"/>
  <c r="P853" i="1" s="1"/>
  <c r="P854" i="1" a="1"/>
  <c r="P854" i="1" s="1"/>
  <c r="P855" i="1" a="1"/>
  <c r="P855" i="1" s="1"/>
  <c r="P856" i="1" a="1"/>
  <c r="P856" i="1" s="1"/>
  <c r="P857" i="1" a="1"/>
  <c r="P857" i="1" s="1"/>
  <c r="P858" i="1" a="1"/>
  <c r="P858" i="1" s="1"/>
  <c r="P859" i="1" a="1"/>
  <c r="P859" i="1" s="1"/>
  <c r="P860" i="1" a="1"/>
  <c r="P860" i="1" s="1"/>
  <c r="P861" i="1" a="1"/>
  <c r="P861" i="1" s="1"/>
  <c r="P862" i="1" a="1"/>
  <c r="P862" i="1" s="1"/>
  <c r="P863" i="1" a="1"/>
  <c r="P863" i="1" s="1"/>
  <c r="P864" i="1" a="1"/>
  <c r="P864" i="1" s="1"/>
  <c r="P865" i="1" a="1"/>
  <c r="P865" i="1" s="1"/>
  <c r="P866" i="1" a="1"/>
  <c r="P866" i="1" s="1"/>
  <c r="P867" i="1" a="1"/>
  <c r="P867" i="1" s="1"/>
  <c r="P868" i="1" a="1"/>
  <c r="P868" i="1" s="1"/>
  <c r="P869" i="1" a="1"/>
  <c r="P869" i="1" s="1"/>
  <c r="P870" i="1" a="1"/>
  <c r="P870" i="1" s="1"/>
  <c r="P871" i="1" a="1"/>
  <c r="P871" i="1" s="1"/>
  <c r="P872" i="1" a="1"/>
  <c r="P872" i="1" s="1"/>
  <c r="P873" i="1" a="1"/>
  <c r="P873" i="1" s="1"/>
  <c r="P874" i="1" a="1"/>
  <c r="P874" i="1" s="1"/>
  <c r="P875" i="1" a="1"/>
  <c r="P875" i="1" s="1"/>
  <c r="P876" i="1" a="1"/>
  <c r="P876" i="1" s="1"/>
  <c r="P877" i="1" a="1"/>
  <c r="P877" i="1" s="1"/>
  <c r="P878" i="1" a="1"/>
  <c r="P878" i="1" s="1"/>
  <c r="P879" i="1" a="1"/>
  <c r="P879" i="1" s="1"/>
  <c r="P880" i="1" a="1"/>
  <c r="P880" i="1" s="1"/>
  <c r="P881" i="1" a="1"/>
  <c r="P881" i="1" s="1"/>
  <c r="P882" i="1" a="1"/>
  <c r="P882" i="1" s="1"/>
  <c r="P883" i="1" a="1"/>
  <c r="P883" i="1" s="1"/>
  <c r="P884" i="1" a="1"/>
  <c r="P884" i="1" s="1"/>
  <c r="P885" i="1" a="1"/>
  <c r="P885" i="1" s="1"/>
  <c r="P886" i="1" a="1"/>
  <c r="P886" i="1" s="1"/>
  <c r="P887" i="1" a="1"/>
  <c r="P887" i="1" s="1"/>
  <c r="P888" i="1" a="1"/>
  <c r="P888" i="1" s="1"/>
  <c r="P889" i="1" a="1"/>
  <c r="P889" i="1" s="1"/>
  <c r="P890" i="1" a="1"/>
  <c r="P890" i="1" s="1"/>
  <c r="P891" i="1" a="1"/>
  <c r="P891" i="1" s="1"/>
  <c r="P892" i="1" a="1"/>
  <c r="P892" i="1" s="1"/>
  <c r="P893" i="1" a="1"/>
  <c r="P893" i="1" s="1"/>
  <c r="P894" i="1" a="1"/>
  <c r="P894" i="1" s="1"/>
  <c r="P895" i="1" a="1"/>
  <c r="P895" i="1" s="1"/>
  <c r="P896" i="1" a="1"/>
  <c r="P896" i="1" s="1"/>
  <c r="P897" i="1" a="1"/>
  <c r="P897" i="1" s="1"/>
  <c r="P898" i="1" a="1"/>
  <c r="P898" i="1" s="1"/>
  <c r="P899" i="1" a="1"/>
  <c r="P899" i="1" s="1"/>
  <c r="P900" i="1" a="1"/>
  <c r="P900" i="1" s="1"/>
  <c r="P901" i="1" a="1"/>
  <c r="P901" i="1" s="1"/>
  <c r="P902" i="1" a="1"/>
  <c r="P902" i="1" s="1"/>
  <c r="P903" i="1" a="1"/>
  <c r="P903" i="1" s="1"/>
  <c r="P904" i="1" a="1"/>
  <c r="P904" i="1" s="1"/>
  <c r="P905" i="1" a="1"/>
  <c r="P905" i="1" s="1"/>
  <c r="P906" i="1" a="1"/>
  <c r="P906" i="1" s="1"/>
  <c r="P907" i="1" a="1"/>
  <c r="P907" i="1" s="1"/>
  <c r="P908" i="1" a="1"/>
  <c r="P908" i="1" s="1"/>
  <c r="P909" i="1" a="1"/>
  <c r="P909" i="1" s="1"/>
  <c r="P910" i="1" a="1"/>
  <c r="P910" i="1" s="1"/>
  <c r="P911" i="1" a="1"/>
  <c r="P911" i="1" s="1"/>
  <c r="P912" i="1" a="1"/>
  <c r="P912" i="1" s="1"/>
  <c r="P913" i="1" a="1"/>
  <c r="P913" i="1" s="1"/>
  <c r="P914" i="1" a="1"/>
  <c r="P914" i="1" s="1"/>
  <c r="P915" i="1" a="1"/>
  <c r="P915" i="1" s="1"/>
  <c r="P916" i="1" a="1"/>
  <c r="P916" i="1" s="1"/>
  <c r="P917" i="1" a="1"/>
  <c r="P917" i="1" s="1"/>
  <c r="P918" i="1" a="1"/>
  <c r="P918" i="1" s="1"/>
  <c r="P919" i="1" a="1"/>
  <c r="P919" i="1" s="1"/>
  <c r="P920" i="1" a="1"/>
  <c r="P920" i="1" s="1"/>
  <c r="P921" i="1" a="1"/>
  <c r="P921" i="1" s="1"/>
  <c r="P922" i="1" a="1"/>
  <c r="P922" i="1" s="1"/>
  <c r="P923" i="1" a="1"/>
  <c r="P923" i="1" s="1"/>
  <c r="P924" i="1" a="1"/>
  <c r="P924" i="1" s="1"/>
  <c r="P925" i="1" a="1"/>
  <c r="P925" i="1" s="1"/>
  <c r="P926" i="1" a="1"/>
  <c r="P926" i="1" s="1"/>
  <c r="P927" i="1" a="1"/>
  <c r="P927" i="1" s="1"/>
  <c r="P928" i="1" a="1"/>
  <c r="P928" i="1" s="1"/>
  <c r="P929" i="1" a="1"/>
  <c r="P929" i="1" s="1"/>
  <c r="P930" i="1" a="1"/>
  <c r="P930" i="1" s="1"/>
  <c r="P931" i="1" a="1"/>
  <c r="P931" i="1" s="1"/>
  <c r="P932" i="1" a="1"/>
  <c r="P932" i="1" s="1"/>
  <c r="P933" i="1" a="1"/>
  <c r="P933" i="1" s="1"/>
  <c r="P934" i="1" a="1"/>
  <c r="P934" i="1" s="1"/>
  <c r="P935" i="1" a="1"/>
  <c r="P935" i="1" s="1"/>
  <c r="P936" i="1" a="1"/>
  <c r="P936" i="1" s="1"/>
  <c r="P937" i="1" a="1"/>
  <c r="P937" i="1" s="1"/>
  <c r="P938" i="1" a="1"/>
  <c r="P938" i="1" s="1"/>
  <c r="P939" i="1" a="1"/>
  <c r="P939" i="1" s="1"/>
  <c r="P940" i="1" a="1"/>
  <c r="P940" i="1" s="1"/>
  <c r="P941" i="1" a="1"/>
  <c r="P941" i="1" s="1"/>
  <c r="P942" i="1" a="1"/>
  <c r="P942" i="1" s="1"/>
  <c r="P943" i="1" a="1"/>
  <c r="P943" i="1" s="1"/>
  <c r="P944" i="1" a="1"/>
  <c r="P944" i="1" s="1"/>
  <c r="P945" i="1" a="1"/>
  <c r="P945" i="1" s="1"/>
  <c r="P946" i="1" a="1"/>
  <c r="P946" i="1" s="1"/>
  <c r="P947" i="1" a="1"/>
  <c r="P947" i="1" s="1"/>
  <c r="P948" i="1" a="1"/>
  <c r="P948" i="1" s="1"/>
  <c r="P949" i="1" a="1"/>
  <c r="P949" i="1" s="1"/>
  <c r="P950" i="1" a="1"/>
  <c r="P950" i="1" s="1"/>
  <c r="P951" i="1" a="1"/>
  <c r="P951" i="1" s="1"/>
  <c r="P952" i="1" a="1"/>
  <c r="P952" i="1" s="1"/>
  <c r="P953" i="1" a="1"/>
  <c r="P953" i="1" s="1"/>
  <c r="P954" i="1" a="1"/>
  <c r="P954" i="1" s="1"/>
  <c r="P955" i="1" a="1"/>
  <c r="P955" i="1" s="1"/>
  <c r="P956" i="1" a="1"/>
  <c r="P956" i="1" s="1"/>
  <c r="P957" i="1" a="1"/>
  <c r="P957" i="1" s="1"/>
  <c r="P958" i="1" a="1"/>
  <c r="P958" i="1" s="1"/>
  <c r="P959" i="1" a="1"/>
  <c r="P959" i="1" s="1"/>
  <c r="P960" i="1" a="1"/>
  <c r="P960" i="1" s="1"/>
  <c r="P961" i="1" a="1"/>
  <c r="P961" i="1" s="1"/>
  <c r="P962" i="1" a="1"/>
  <c r="P962" i="1" s="1"/>
  <c r="P963" i="1" a="1"/>
  <c r="P963" i="1" s="1"/>
  <c r="P964" i="1" a="1"/>
  <c r="P964" i="1" s="1"/>
  <c r="P965" i="1" a="1"/>
  <c r="P965" i="1" s="1"/>
  <c r="P966" i="1" a="1"/>
  <c r="P966" i="1" s="1"/>
  <c r="P967" i="1" a="1"/>
  <c r="P967" i="1" s="1"/>
  <c r="P968" i="1" a="1"/>
  <c r="P968" i="1" s="1"/>
  <c r="P969" i="1" a="1"/>
  <c r="P969" i="1" s="1"/>
  <c r="P970" i="1" a="1"/>
  <c r="P970" i="1" s="1"/>
  <c r="P971" i="1" a="1"/>
  <c r="P971" i="1" s="1"/>
  <c r="P972" i="1" a="1"/>
  <c r="P972" i="1" s="1"/>
  <c r="P973" i="1" a="1"/>
  <c r="P973" i="1" s="1"/>
  <c r="P974" i="1" a="1"/>
  <c r="P974" i="1" s="1"/>
  <c r="P975" i="1" a="1"/>
  <c r="P975" i="1" s="1"/>
  <c r="P976" i="1" a="1"/>
  <c r="P976" i="1" s="1"/>
  <c r="P977" i="1" a="1"/>
  <c r="P977" i="1" s="1"/>
  <c r="P978" i="1" a="1"/>
  <c r="P978" i="1" s="1"/>
  <c r="P979" i="1" a="1"/>
  <c r="P979" i="1" s="1"/>
  <c r="P980" i="1" a="1"/>
  <c r="P980" i="1" s="1"/>
  <c r="P981" i="1" a="1"/>
  <c r="P981" i="1" s="1"/>
  <c r="P982" i="1" a="1"/>
  <c r="P982" i="1" s="1"/>
  <c r="P983" i="1" a="1"/>
  <c r="P983" i="1" s="1"/>
  <c r="P984" i="1" a="1"/>
  <c r="P984" i="1" s="1"/>
  <c r="P985" i="1" a="1"/>
  <c r="P985" i="1" s="1"/>
  <c r="P986" i="1" a="1"/>
  <c r="P986" i="1" s="1"/>
  <c r="P987" i="1" a="1"/>
  <c r="P987" i="1" s="1"/>
  <c r="P988" i="1" a="1"/>
  <c r="P988" i="1" s="1"/>
  <c r="P989" i="1" a="1"/>
  <c r="P989" i="1" s="1"/>
  <c r="P990" i="1" a="1"/>
  <c r="P990" i="1" s="1"/>
  <c r="P991" i="1" a="1"/>
  <c r="P991" i="1" s="1"/>
  <c r="P992" i="1" a="1"/>
  <c r="P992" i="1" s="1"/>
  <c r="P993" i="1" a="1"/>
  <c r="P993" i="1" s="1"/>
  <c r="P994" i="1" a="1"/>
  <c r="P994" i="1" s="1"/>
  <c r="P995" i="1" a="1"/>
  <c r="P995" i="1" s="1"/>
  <c r="P996" i="1" a="1"/>
  <c r="P996" i="1" s="1"/>
  <c r="P997" i="1" a="1"/>
  <c r="P997" i="1" s="1"/>
  <c r="P998" i="1" a="1"/>
  <c r="P998" i="1" s="1"/>
  <c r="P999" i="1" a="1"/>
  <c r="P999" i="1" s="1"/>
  <c r="P1000" i="1" a="1"/>
  <c r="P1000" i="1" s="1"/>
  <c r="P1001" i="1" a="1"/>
  <c r="P1001" i="1" s="1"/>
  <c r="I70" i="2"/>
  <c r="I71" i="2"/>
  <c r="I72" i="2"/>
  <c r="I69" i="2"/>
  <c r="H70" i="2"/>
  <c r="H71" i="2"/>
  <c r="H72" i="2"/>
  <c r="H69" i="2"/>
  <c r="G70" i="2"/>
  <c r="G71" i="2"/>
  <c r="G72" i="2"/>
  <c r="G69" i="2"/>
  <c r="F70" i="2"/>
  <c r="F71" i="2"/>
  <c r="F72" i="2"/>
  <c r="F69" i="2"/>
  <c r="E70" i="2"/>
  <c r="E71" i="2"/>
  <c r="E72" i="2"/>
  <c r="E69" i="2"/>
  <c r="J13" i="2"/>
  <c r="P70" i="3"/>
  <c r="P71" i="3"/>
  <c r="P72" i="3"/>
  <c r="P73" i="3"/>
  <c r="P74" i="3"/>
  <c r="P75" i="3"/>
  <c r="P76" i="3"/>
  <c r="P77" i="3"/>
  <c r="P78" i="3"/>
  <c r="P79" i="3"/>
  <c r="N48" i="3"/>
  <c r="O52" i="3"/>
  <c r="O53" i="3"/>
  <c r="N26" i="3"/>
  <c r="O30" i="3"/>
  <c r="O31" i="3"/>
  <c r="O32" i="3"/>
  <c r="O33" i="3"/>
  <c r="F155" i="2"/>
  <c r="F156" i="2"/>
  <c r="F154" i="2"/>
  <c r="E155" i="2"/>
  <c r="E156" i="2"/>
  <c r="E154" i="2"/>
  <c r="H110" i="2"/>
  <c r="G110" i="2"/>
  <c r="F112" i="2"/>
  <c r="F111" i="2"/>
  <c r="F110" i="2"/>
  <c r="E112" i="2"/>
  <c r="E111" i="2"/>
  <c r="E110" i="2"/>
  <c r="F103" i="2"/>
  <c r="F102" i="2"/>
  <c r="F101" i="2"/>
  <c r="E103" i="2"/>
  <c r="E102" i="2"/>
  <c r="E101" i="2"/>
  <c r="H2" i="1"/>
  <c r="H6" i="1"/>
  <c r="H5" i="1"/>
  <c r="H3" i="1"/>
  <c r="H4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E86" i="2"/>
  <c r="E87" i="2"/>
  <c r="E85" i="2"/>
  <c r="K14" i="2"/>
  <c r="K15" i="2"/>
  <c r="K16" i="2"/>
  <c r="K13" i="2"/>
  <c r="J14" i="2"/>
  <c r="J15" i="2"/>
  <c r="J16" i="2"/>
  <c r="I39" i="4" l="1"/>
  <c r="X22" i="4"/>
  <c r="G101" i="2"/>
  <c r="G155" i="2"/>
  <c r="G154" i="2"/>
  <c r="G156" i="2"/>
  <c r="J72" i="2"/>
  <c r="J69" i="2"/>
  <c r="K69" i="2" s="1"/>
  <c r="J71" i="2"/>
  <c r="J70" i="2"/>
  <c r="I16" i="2"/>
  <c r="E21" i="2"/>
  <c r="E20" i="2"/>
  <c r="O54" i="3"/>
  <c r="O34" i="3"/>
  <c r="I13" i="2"/>
  <c r="G113" i="2"/>
  <c r="E113" i="2"/>
  <c r="H127" i="2"/>
  <c r="H128" i="2"/>
  <c r="G129" i="2"/>
  <c r="E128" i="2"/>
  <c r="F129" i="2"/>
  <c r="H129" i="2"/>
  <c r="G128" i="2"/>
  <c r="E127" i="2"/>
  <c r="F113" i="2"/>
  <c r="E129" i="2"/>
  <c r="F127" i="2"/>
  <c r="F128" i="2"/>
  <c r="G127" i="2"/>
  <c r="H113" i="2"/>
  <c r="E104" i="2"/>
  <c r="F104" i="2"/>
  <c r="F93" i="2"/>
  <c r="F92" i="2"/>
  <c r="F94" i="2"/>
  <c r="E92" i="2"/>
  <c r="E93" i="2"/>
  <c r="E94" i="2"/>
  <c r="E88" i="2"/>
  <c r="F87" i="2" s="1"/>
  <c r="G92" i="2" l="1"/>
  <c r="G93" i="2"/>
  <c r="G94" i="2"/>
  <c r="J73" i="2"/>
  <c r="O92" i="3"/>
  <c r="H130" i="2"/>
  <c r="H138" i="2" s="1"/>
  <c r="G130" i="2"/>
  <c r="G138" i="2" s="1"/>
  <c r="F130" i="2"/>
  <c r="F138" i="2" s="1"/>
  <c r="E130" i="2"/>
  <c r="E138" i="2" s="1"/>
  <c r="E95" i="2"/>
  <c r="F95" i="2"/>
  <c r="F85" i="2"/>
  <c r="F8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<sst xmlns="http://schemas.openxmlformats.org/spreadsheetml/2006/main" count="5498" uniqueCount="1086">
  <si>
    <t>Lead ID</t>
  </si>
  <si>
    <t>Store Name</t>
  </si>
  <si>
    <t>Lead Type</t>
  </si>
  <si>
    <t>Lead Date</t>
  </si>
  <si>
    <t>Pre-Booking Date</t>
  </si>
  <si>
    <t>Booking Date</t>
  </si>
  <si>
    <t>Delivery Date</t>
  </si>
  <si>
    <t>Cancellation Status</t>
  </si>
  <si>
    <t>Cancellation Reason</t>
  </si>
  <si>
    <t>Service Follow-up Date</t>
  </si>
  <si>
    <t>TAT Pre-Booking (Days)</t>
  </si>
  <si>
    <t>TAT Booking (Days)</t>
  </si>
  <si>
    <t>TAT Delivery (Days)</t>
  </si>
  <si>
    <t>Customer Rating</t>
  </si>
  <si>
    <t>L1000</t>
  </si>
  <si>
    <t>Bangalore MBC</t>
  </si>
  <si>
    <t>Warm</t>
  </si>
  <si>
    <t>No</t>
  </si>
  <si>
    <t>L1001</t>
  </si>
  <si>
    <t>Delhi MBC</t>
  </si>
  <si>
    <t>L1002</t>
  </si>
  <si>
    <t>Mumbai MBC</t>
  </si>
  <si>
    <t>Cold</t>
  </si>
  <si>
    <t>Yes</t>
  </si>
  <si>
    <t>Other</t>
  </si>
  <si>
    <t>L1003</t>
  </si>
  <si>
    <t>Model Unavailable</t>
  </si>
  <si>
    <t>L1004</t>
  </si>
  <si>
    <t>L1005</t>
  </si>
  <si>
    <t>L1006</t>
  </si>
  <si>
    <t>Hot</t>
  </si>
  <si>
    <t>L1007</t>
  </si>
  <si>
    <t>Chennai MBC</t>
  </si>
  <si>
    <t>Changed Mind</t>
  </si>
  <si>
    <t>L1008</t>
  </si>
  <si>
    <t>L1009</t>
  </si>
  <si>
    <t>L1010</t>
  </si>
  <si>
    <t>L1011</t>
  </si>
  <si>
    <t>L1012</t>
  </si>
  <si>
    <t>L1013</t>
  </si>
  <si>
    <t>L1014</t>
  </si>
  <si>
    <t>L1015</t>
  </si>
  <si>
    <t>L1016</t>
  </si>
  <si>
    <t>L1017</t>
  </si>
  <si>
    <t>L1018</t>
  </si>
  <si>
    <t>L1019</t>
  </si>
  <si>
    <t>L1020</t>
  </si>
  <si>
    <t>L1021</t>
  </si>
  <si>
    <t>L1022</t>
  </si>
  <si>
    <t>L1023</t>
  </si>
  <si>
    <t>L1024</t>
  </si>
  <si>
    <t>L1025</t>
  </si>
  <si>
    <t>L1026</t>
  </si>
  <si>
    <t>L1027</t>
  </si>
  <si>
    <t>L1028</t>
  </si>
  <si>
    <t>L1029</t>
  </si>
  <si>
    <t>L1030</t>
  </si>
  <si>
    <t>L1031</t>
  </si>
  <si>
    <t>L1032</t>
  </si>
  <si>
    <t>L1033</t>
  </si>
  <si>
    <t>L1034</t>
  </si>
  <si>
    <t>L1035</t>
  </si>
  <si>
    <t>L1036</t>
  </si>
  <si>
    <t>Financing Issue</t>
  </si>
  <si>
    <t>L1037</t>
  </si>
  <si>
    <t>L1038</t>
  </si>
  <si>
    <t>L1039</t>
  </si>
  <si>
    <t>L1040</t>
  </si>
  <si>
    <t>L1041</t>
  </si>
  <si>
    <t>L1042</t>
  </si>
  <si>
    <t>L1043</t>
  </si>
  <si>
    <t>L1044</t>
  </si>
  <si>
    <t>L1045</t>
  </si>
  <si>
    <t>L1046</t>
  </si>
  <si>
    <t>L1047</t>
  </si>
  <si>
    <t>L1048</t>
  </si>
  <si>
    <t>L1049</t>
  </si>
  <si>
    <t>L1050</t>
  </si>
  <si>
    <t>L1051</t>
  </si>
  <si>
    <t>L1052</t>
  </si>
  <si>
    <t>L1053</t>
  </si>
  <si>
    <t>L1054</t>
  </si>
  <si>
    <t>L1055</t>
  </si>
  <si>
    <t>L1056</t>
  </si>
  <si>
    <t>L1057</t>
  </si>
  <si>
    <t>L1058</t>
  </si>
  <si>
    <t>L1059</t>
  </si>
  <si>
    <t>L1060</t>
  </si>
  <si>
    <t>L1061</t>
  </si>
  <si>
    <t>L1062</t>
  </si>
  <si>
    <t>L1063</t>
  </si>
  <si>
    <t>L1064</t>
  </si>
  <si>
    <t>L1065</t>
  </si>
  <si>
    <t>L1066</t>
  </si>
  <si>
    <t>L1067</t>
  </si>
  <si>
    <t>L1068</t>
  </si>
  <si>
    <t>L1069</t>
  </si>
  <si>
    <t>L1070</t>
  </si>
  <si>
    <t>L1071</t>
  </si>
  <si>
    <t>L1072</t>
  </si>
  <si>
    <t>L1073</t>
  </si>
  <si>
    <t>Price</t>
  </si>
  <si>
    <t>L1074</t>
  </si>
  <si>
    <t>L1075</t>
  </si>
  <si>
    <t>L1076</t>
  </si>
  <si>
    <t>L1077</t>
  </si>
  <si>
    <t>L1078</t>
  </si>
  <si>
    <t>L1079</t>
  </si>
  <si>
    <t>L1080</t>
  </si>
  <si>
    <t>L1081</t>
  </si>
  <si>
    <t>L1082</t>
  </si>
  <si>
    <t>L1083</t>
  </si>
  <si>
    <t>L1084</t>
  </si>
  <si>
    <t>L1085</t>
  </si>
  <si>
    <t>L1086</t>
  </si>
  <si>
    <t>L1087</t>
  </si>
  <si>
    <t>L1088</t>
  </si>
  <si>
    <t>L1089</t>
  </si>
  <si>
    <t>L1090</t>
  </si>
  <si>
    <t>L1091</t>
  </si>
  <si>
    <t>L1092</t>
  </si>
  <si>
    <t>L1093</t>
  </si>
  <si>
    <t>L1094</t>
  </si>
  <si>
    <t>L1095</t>
  </si>
  <si>
    <t>L1096</t>
  </si>
  <si>
    <t>L1097</t>
  </si>
  <si>
    <t>L1098</t>
  </si>
  <si>
    <t>L1099</t>
  </si>
  <si>
    <t>L1100</t>
  </si>
  <si>
    <t>L1101</t>
  </si>
  <si>
    <t>L1102</t>
  </si>
  <si>
    <t>L1103</t>
  </si>
  <si>
    <t>L1104</t>
  </si>
  <si>
    <t>L1105</t>
  </si>
  <si>
    <t>L1106</t>
  </si>
  <si>
    <t>L1107</t>
  </si>
  <si>
    <t>L1108</t>
  </si>
  <si>
    <t>L1109</t>
  </si>
  <si>
    <t>L1110</t>
  </si>
  <si>
    <t>L1111</t>
  </si>
  <si>
    <t>L1112</t>
  </si>
  <si>
    <t>L1113</t>
  </si>
  <si>
    <t>L1114</t>
  </si>
  <si>
    <t>L1115</t>
  </si>
  <si>
    <t>L1116</t>
  </si>
  <si>
    <t>L1117</t>
  </si>
  <si>
    <t>L1118</t>
  </si>
  <si>
    <t>L1119</t>
  </si>
  <si>
    <t>L1120</t>
  </si>
  <si>
    <t>L1121</t>
  </si>
  <si>
    <t>L1122</t>
  </si>
  <si>
    <t>L1123</t>
  </si>
  <si>
    <t>L1124</t>
  </si>
  <si>
    <t>L1125</t>
  </si>
  <si>
    <t>L1126</t>
  </si>
  <si>
    <t>L1127</t>
  </si>
  <si>
    <t>L1128</t>
  </si>
  <si>
    <t>L1129</t>
  </si>
  <si>
    <t>L1130</t>
  </si>
  <si>
    <t>L1131</t>
  </si>
  <si>
    <t>L1132</t>
  </si>
  <si>
    <t>L1133</t>
  </si>
  <si>
    <t>L1134</t>
  </si>
  <si>
    <t>L1135</t>
  </si>
  <si>
    <t>L1136</t>
  </si>
  <si>
    <t>L1137</t>
  </si>
  <si>
    <t>L1138</t>
  </si>
  <si>
    <t>L1139</t>
  </si>
  <si>
    <t>L1140</t>
  </si>
  <si>
    <t>L1141</t>
  </si>
  <si>
    <t>L1142</t>
  </si>
  <si>
    <t>L1143</t>
  </si>
  <si>
    <t>L1144</t>
  </si>
  <si>
    <t>L1145</t>
  </si>
  <si>
    <t>L1146</t>
  </si>
  <si>
    <t>L1147</t>
  </si>
  <si>
    <t>L1148</t>
  </si>
  <si>
    <t>L1149</t>
  </si>
  <si>
    <t>L1150</t>
  </si>
  <si>
    <t>L1151</t>
  </si>
  <si>
    <t>L1152</t>
  </si>
  <si>
    <t>L1153</t>
  </si>
  <si>
    <t>L1154</t>
  </si>
  <si>
    <t>L1155</t>
  </si>
  <si>
    <t>L1156</t>
  </si>
  <si>
    <t>L1157</t>
  </si>
  <si>
    <t>L1158</t>
  </si>
  <si>
    <t>L1159</t>
  </si>
  <si>
    <t>L1160</t>
  </si>
  <si>
    <t>L1161</t>
  </si>
  <si>
    <t>L1162</t>
  </si>
  <si>
    <t>L1163</t>
  </si>
  <si>
    <t>L1164</t>
  </si>
  <si>
    <t>L1165</t>
  </si>
  <si>
    <t>L1166</t>
  </si>
  <si>
    <t>L1167</t>
  </si>
  <si>
    <t>L1168</t>
  </si>
  <si>
    <t>L1169</t>
  </si>
  <si>
    <t>L1170</t>
  </si>
  <si>
    <t>L1171</t>
  </si>
  <si>
    <t>L1172</t>
  </si>
  <si>
    <t>L1173</t>
  </si>
  <si>
    <t>L1174</t>
  </si>
  <si>
    <t>L1175</t>
  </si>
  <si>
    <t>L1176</t>
  </si>
  <si>
    <t>L1177</t>
  </si>
  <si>
    <t>L1178</t>
  </si>
  <si>
    <t>L1179</t>
  </si>
  <si>
    <t>L1180</t>
  </si>
  <si>
    <t>L1181</t>
  </si>
  <si>
    <t>L1182</t>
  </si>
  <si>
    <t>L1183</t>
  </si>
  <si>
    <t>L1184</t>
  </si>
  <si>
    <t>L1185</t>
  </si>
  <si>
    <t>L1186</t>
  </si>
  <si>
    <t>L1187</t>
  </si>
  <si>
    <t>L1188</t>
  </si>
  <si>
    <t>L1189</t>
  </si>
  <si>
    <t>L1190</t>
  </si>
  <si>
    <t>L1191</t>
  </si>
  <si>
    <t>L1192</t>
  </si>
  <si>
    <t>L1193</t>
  </si>
  <si>
    <t>L1194</t>
  </si>
  <si>
    <t>L1195</t>
  </si>
  <si>
    <t>L1196</t>
  </si>
  <si>
    <t>L1197</t>
  </si>
  <si>
    <t>L1198</t>
  </si>
  <si>
    <t>L1199</t>
  </si>
  <si>
    <t>L1200</t>
  </si>
  <si>
    <t>L1201</t>
  </si>
  <si>
    <t>L1202</t>
  </si>
  <si>
    <t>L1203</t>
  </si>
  <si>
    <t>L1204</t>
  </si>
  <si>
    <t>L1205</t>
  </si>
  <si>
    <t>L1206</t>
  </si>
  <si>
    <t>L1207</t>
  </si>
  <si>
    <t>L1208</t>
  </si>
  <si>
    <t>L1209</t>
  </si>
  <si>
    <t>L1210</t>
  </si>
  <si>
    <t>L1211</t>
  </si>
  <si>
    <t>L1212</t>
  </si>
  <si>
    <t>L1213</t>
  </si>
  <si>
    <t>L1214</t>
  </si>
  <si>
    <t>L1215</t>
  </si>
  <si>
    <t>L1216</t>
  </si>
  <si>
    <t>L1217</t>
  </si>
  <si>
    <t>L1218</t>
  </si>
  <si>
    <t>L1219</t>
  </si>
  <si>
    <t>L1220</t>
  </si>
  <si>
    <t>L1221</t>
  </si>
  <si>
    <t>L1222</t>
  </si>
  <si>
    <t>L1223</t>
  </si>
  <si>
    <t>L1224</t>
  </si>
  <si>
    <t>L1225</t>
  </si>
  <si>
    <t>L1226</t>
  </si>
  <si>
    <t>L1227</t>
  </si>
  <si>
    <t>L1228</t>
  </si>
  <si>
    <t>L1229</t>
  </si>
  <si>
    <t>L1230</t>
  </si>
  <si>
    <t>L1231</t>
  </si>
  <si>
    <t>L1232</t>
  </si>
  <si>
    <t>L1233</t>
  </si>
  <si>
    <t>L1234</t>
  </si>
  <si>
    <t>L1235</t>
  </si>
  <si>
    <t>L1236</t>
  </si>
  <si>
    <t>L1237</t>
  </si>
  <si>
    <t>L1238</t>
  </si>
  <si>
    <t>L1239</t>
  </si>
  <si>
    <t>L1240</t>
  </si>
  <si>
    <t>L1241</t>
  </si>
  <si>
    <t>L1242</t>
  </si>
  <si>
    <t>L1243</t>
  </si>
  <si>
    <t>L1244</t>
  </si>
  <si>
    <t>L1245</t>
  </si>
  <si>
    <t>L1246</t>
  </si>
  <si>
    <t>L1247</t>
  </si>
  <si>
    <t>L1248</t>
  </si>
  <si>
    <t>L1249</t>
  </si>
  <si>
    <t>L1250</t>
  </si>
  <si>
    <t>L1251</t>
  </si>
  <si>
    <t>L1252</t>
  </si>
  <si>
    <t>L1253</t>
  </si>
  <si>
    <t>L1254</t>
  </si>
  <si>
    <t>L1255</t>
  </si>
  <si>
    <t>L1256</t>
  </si>
  <si>
    <t>L1257</t>
  </si>
  <si>
    <t>L1258</t>
  </si>
  <si>
    <t>L1259</t>
  </si>
  <si>
    <t>L1260</t>
  </si>
  <si>
    <t>L1261</t>
  </si>
  <si>
    <t>L1262</t>
  </si>
  <si>
    <t>L1263</t>
  </si>
  <si>
    <t>L1264</t>
  </si>
  <si>
    <t>L1265</t>
  </si>
  <si>
    <t>L1266</t>
  </si>
  <si>
    <t>L1267</t>
  </si>
  <si>
    <t>L1268</t>
  </si>
  <si>
    <t>L1269</t>
  </si>
  <si>
    <t>L1270</t>
  </si>
  <si>
    <t>L1271</t>
  </si>
  <si>
    <t>L1272</t>
  </si>
  <si>
    <t>L1273</t>
  </si>
  <si>
    <t>L1274</t>
  </si>
  <si>
    <t>L1275</t>
  </si>
  <si>
    <t>L1276</t>
  </si>
  <si>
    <t>L1277</t>
  </si>
  <si>
    <t>L1278</t>
  </si>
  <si>
    <t>L1279</t>
  </si>
  <si>
    <t>L1280</t>
  </si>
  <si>
    <t>L1281</t>
  </si>
  <si>
    <t>L1282</t>
  </si>
  <si>
    <t>L1283</t>
  </si>
  <si>
    <t>L1284</t>
  </si>
  <si>
    <t>L1285</t>
  </si>
  <si>
    <t>L1286</t>
  </si>
  <si>
    <t>L1287</t>
  </si>
  <si>
    <t>L1288</t>
  </si>
  <si>
    <t>L1289</t>
  </si>
  <si>
    <t>L1290</t>
  </si>
  <si>
    <t>L1291</t>
  </si>
  <si>
    <t>L1292</t>
  </si>
  <si>
    <t>L1293</t>
  </si>
  <si>
    <t>L1294</t>
  </si>
  <si>
    <t>L1295</t>
  </si>
  <si>
    <t>L1296</t>
  </si>
  <si>
    <t>L1297</t>
  </si>
  <si>
    <t>L1298</t>
  </si>
  <si>
    <t>L1299</t>
  </si>
  <si>
    <t>L1300</t>
  </si>
  <si>
    <t>L1301</t>
  </si>
  <si>
    <t>L1302</t>
  </si>
  <si>
    <t>L1303</t>
  </si>
  <si>
    <t>L1304</t>
  </si>
  <si>
    <t>L1305</t>
  </si>
  <si>
    <t>L1306</t>
  </si>
  <si>
    <t>L1307</t>
  </si>
  <si>
    <t>L1308</t>
  </si>
  <si>
    <t>L1309</t>
  </si>
  <si>
    <t>L1310</t>
  </si>
  <si>
    <t>L1311</t>
  </si>
  <si>
    <t>L1312</t>
  </si>
  <si>
    <t>L1313</t>
  </si>
  <si>
    <t>L1314</t>
  </si>
  <si>
    <t>L1315</t>
  </si>
  <si>
    <t>L1316</t>
  </si>
  <si>
    <t>L1317</t>
  </si>
  <si>
    <t>L1318</t>
  </si>
  <si>
    <t>L1319</t>
  </si>
  <si>
    <t>L1320</t>
  </si>
  <si>
    <t>L1321</t>
  </si>
  <si>
    <t>L1322</t>
  </si>
  <si>
    <t>L1323</t>
  </si>
  <si>
    <t>L1324</t>
  </si>
  <si>
    <t>L1325</t>
  </si>
  <si>
    <t>L1326</t>
  </si>
  <si>
    <t>L1327</t>
  </si>
  <si>
    <t>L1328</t>
  </si>
  <si>
    <t>L1329</t>
  </si>
  <si>
    <t>L1330</t>
  </si>
  <si>
    <t>L1331</t>
  </si>
  <si>
    <t>L1332</t>
  </si>
  <si>
    <t>L1333</t>
  </si>
  <si>
    <t>L1334</t>
  </si>
  <si>
    <t>L1335</t>
  </si>
  <si>
    <t>L1336</t>
  </si>
  <si>
    <t>L1337</t>
  </si>
  <si>
    <t>L1338</t>
  </si>
  <si>
    <t>L1339</t>
  </si>
  <si>
    <t>L1340</t>
  </si>
  <si>
    <t>L1341</t>
  </si>
  <si>
    <t>L1342</t>
  </si>
  <si>
    <t>L1343</t>
  </si>
  <si>
    <t>L1344</t>
  </si>
  <si>
    <t>L1345</t>
  </si>
  <si>
    <t>L1346</t>
  </si>
  <si>
    <t>L1347</t>
  </si>
  <si>
    <t>L1348</t>
  </si>
  <si>
    <t>L1349</t>
  </si>
  <si>
    <t>L1350</t>
  </si>
  <si>
    <t>L1351</t>
  </si>
  <si>
    <t>L1352</t>
  </si>
  <si>
    <t>L1353</t>
  </si>
  <si>
    <t>L1354</t>
  </si>
  <si>
    <t>L1355</t>
  </si>
  <si>
    <t>L1356</t>
  </si>
  <si>
    <t>L1357</t>
  </si>
  <si>
    <t>L1358</t>
  </si>
  <si>
    <t>L1359</t>
  </si>
  <si>
    <t>L1360</t>
  </si>
  <si>
    <t>L1361</t>
  </si>
  <si>
    <t>L1362</t>
  </si>
  <si>
    <t>L1363</t>
  </si>
  <si>
    <t>L1364</t>
  </si>
  <si>
    <t>L1365</t>
  </si>
  <si>
    <t>L1366</t>
  </si>
  <si>
    <t>L1367</t>
  </si>
  <si>
    <t>L1368</t>
  </si>
  <si>
    <t>L1369</t>
  </si>
  <si>
    <t>L1370</t>
  </si>
  <si>
    <t>L1371</t>
  </si>
  <si>
    <t>L1372</t>
  </si>
  <si>
    <t>L1373</t>
  </si>
  <si>
    <t>L1374</t>
  </si>
  <si>
    <t>L1375</t>
  </si>
  <si>
    <t>L1376</t>
  </si>
  <si>
    <t>L1377</t>
  </si>
  <si>
    <t>L1378</t>
  </si>
  <si>
    <t>L1379</t>
  </si>
  <si>
    <t>L1380</t>
  </si>
  <si>
    <t>L1381</t>
  </si>
  <si>
    <t>L1382</t>
  </si>
  <si>
    <t>L1383</t>
  </si>
  <si>
    <t>L1384</t>
  </si>
  <si>
    <t>L1385</t>
  </si>
  <si>
    <t>L1386</t>
  </si>
  <si>
    <t>L1387</t>
  </si>
  <si>
    <t>L1388</t>
  </si>
  <si>
    <t>L1389</t>
  </si>
  <si>
    <t>L1390</t>
  </si>
  <si>
    <t>L1391</t>
  </si>
  <si>
    <t>L1392</t>
  </si>
  <si>
    <t>L1393</t>
  </si>
  <si>
    <t>L1394</t>
  </si>
  <si>
    <t>L1395</t>
  </si>
  <si>
    <t>L1396</t>
  </si>
  <si>
    <t>L1397</t>
  </si>
  <si>
    <t>L1398</t>
  </si>
  <si>
    <t>L1399</t>
  </si>
  <si>
    <t>L1400</t>
  </si>
  <si>
    <t>L1401</t>
  </si>
  <si>
    <t>L1402</t>
  </si>
  <si>
    <t>L1403</t>
  </si>
  <si>
    <t>L1404</t>
  </si>
  <si>
    <t>L1405</t>
  </si>
  <si>
    <t>L1406</t>
  </si>
  <si>
    <t>L1407</t>
  </si>
  <si>
    <t>L1408</t>
  </si>
  <si>
    <t>L1409</t>
  </si>
  <si>
    <t>L1410</t>
  </si>
  <si>
    <t>L1411</t>
  </si>
  <si>
    <t>L1412</t>
  </si>
  <si>
    <t>L1413</t>
  </si>
  <si>
    <t>L1414</t>
  </si>
  <si>
    <t>L1415</t>
  </si>
  <si>
    <t>L1416</t>
  </si>
  <si>
    <t>L1417</t>
  </si>
  <si>
    <t>L1418</t>
  </si>
  <si>
    <t>L1419</t>
  </si>
  <si>
    <t>L1420</t>
  </si>
  <si>
    <t>L1421</t>
  </si>
  <si>
    <t>L1422</t>
  </si>
  <si>
    <t>L1423</t>
  </si>
  <si>
    <t>L1424</t>
  </si>
  <si>
    <t>L1425</t>
  </si>
  <si>
    <t>L1426</t>
  </si>
  <si>
    <t>L1427</t>
  </si>
  <si>
    <t>L1428</t>
  </si>
  <si>
    <t>L1429</t>
  </si>
  <si>
    <t>L1430</t>
  </si>
  <si>
    <t>L1431</t>
  </si>
  <si>
    <t>L1432</t>
  </si>
  <si>
    <t>L1433</t>
  </si>
  <si>
    <t>L1434</t>
  </si>
  <si>
    <t>L1435</t>
  </si>
  <si>
    <t>L1436</t>
  </si>
  <si>
    <t>L1437</t>
  </si>
  <si>
    <t>L1438</t>
  </si>
  <si>
    <t>L1439</t>
  </si>
  <si>
    <t>L1440</t>
  </si>
  <si>
    <t>L1441</t>
  </si>
  <si>
    <t>L1442</t>
  </si>
  <si>
    <t>L1443</t>
  </si>
  <si>
    <t>L1444</t>
  </si>
  <si>
    <t>L1445</t>
  </si>
  <si>
    <t>L1446</t>
  </si>
  <si>
    <t>L1447</t>
  </si>
  <si>
    <t>L1448</t>
  </si>
  <si>
    <t>L1449</t>
  </si>
  <si>
    <t>L1450</t>
  </si>
  <si>
    <t>L1451</t>
  </si>
  <si>
    <t>L1452</t>
  </si>
  <si>
    <t>L1453</t>
  </si>
  <si>
    <t>L1454</t>
  </si>
  <si>
    <t>L1455</t>
  </si>
  <si>
    <t>L1456</t>
  </si>
  <si>
    <t>L1457</t>
  </si>
  <si>
    <t>L1458</t>
  </si>
  <si>
    <t>L1459</t>
  </si>
  <si>
    <t>L1460</t>
  </si>
  <si>
    <t>L1461</t>
  </si>
  <si>
    <t>L1462</t>
  </si>
  <si>
    <t>L1463</t>
  </si>
  <si>
    <t>L1464</t>
  </si>
  <si>
    <t>L1465</t>
  </si>
  <si>
    <t>L1466</t>
  </si>
  <si>
    <t>L1467</t>
  </si>
  <si>
    <t>L1468</t>
  </si>
  <si>
    <t>L1469</t>
  </si>
  <si>
    <t>L1470</t>
  </si>
  <si>
    <t>L1471</t>
  </si>
  <si>
    <t>L1472</t>
  </si>
  <si>
    <t>L1473</t>
  </si>
  <si>
    <t>L1474</t>
  </si>
  <si>
    <t>L1475</t>
  </si>
  <si>
    <t>L1476</t>
  </si>
  <si>
    <t>L1477</t>
  </si>
  <si>
    <t>L1478</t>
  </si>
  <si>
    <t>L1479</t>
  </si>
  <si>
    <t>L1480</t>
  </si>
  <si>
    <t>L1481</t>
  </si>
  <si>
    <t>L1482</t>
  </si>
  <si>
    <t>L1483</t>
  </si>
  <si>
    <t>L1484</t>
  </si>
  <si>
    <t>L1485</t>
  </si>
  <si>
    <t>L1486</t>
  </si>
  <si>
    <t>L1487</t>
  </si>
  <si>
    <t>L1488</t>
  </si>
  <si>
    <t>L1489</t>
  </si>
  <si>
    <t>L1490</t>
  </si>
  <si>
    <t>L1491</t>
  </si>
  <si>
    <t>L1492</t>
  </si>
  <si>
    <t>L1493</t>
  </si>
  <si>
    <t>L1494</t>
  </si>
  <si>
    <t>L1495</t>
  </si>
  <si>
    <t>L1496</t>
  </si>
  <si>
    <t>L1497</t>
  </si>
  <si>
    <t>L1498</t>
  </si>
  <si>
    <t>L1499</t>
  </si>
  <si>
    <t>L1500</t>
  </si>
  <si>
    <t>L1501</t>
  </si>
  <si>
    <t>L1502</t>
  </si>
  <si>
    <t>L1503</t>
  </si>
  <si>
    <t>L1504</t>
  </si>
  <si>
    <t>L1505</t>
  </si>
  <si>
    <t>L1506</t>
  </si>
  <si>
    <t>L1507</t>
  </si>
  <si>
    <t>L1508</t>
  </si>
  <si>
    <t>L1509</t>
  </si>
  <si>
    <t>L1510</t>
  </si>
  <si>
    <t>L1511</t>
  </si>
  <si>
    <t>L1512</t>
  </si>
  <si>
    <t>L1513</t>
  </si>
  <si>
    <t>L1514</t>
  </si>
  <si>
    <t>L1515</t>
  </si>
  <si>
    <t>L1516</t>
  </si>
  <si>
    <t>L1517</t>
  </si>
  <si>
    <t>L1518</t>
  </si>
  <si>
    <t>L1519</t>
  </si>
  <si>
    <t>L1520</t>
  </si>
  <si>
    <t>L1521</t>
  </si>
  <si>
    <t>L1522</t>
  </si>
  <si>
    <t>L1523</t>
  </si>
  <si>
    <t>L1524</t>
  </si>
  <si>
    <t>L1525</t>
  </si>
  <si>
    <t>L1526</t>
  </si>
  <si>
    <t>L1527</t>
  </si>
  <si>
    <t>L1528</t>
  </si>
  <si>
    <t>L1529</t>
  </si>
  <si>
    <t>L1530</t>
  </si>
  <si>
    <t>L1531</t>
  </si>
  <si>
    <t>L1532</t>
  </si>
  <si>
    <t>L1533</t>
  </si>
  <si>
    <t>L1534</t>
  </si>
  <si>
    <t>L1535</t>
  </si>
  <si>
    <t>L1536</t>
  </si>
  <si>
    <t>L1537</t>
  </si>
  <si>
    <t>L1538</t>
  </si>
  <si>
    <t>L1539</t>
  </si>
  <si>
    <t>L1540</t>
  </si>
  <si>
    <t>L1541</t>
  </si>
  <si>
    <t>L1542</t>
  </si>
  <si>
    <t>L1543</t>
  </si>
  <si>
    <t>L1544</t>
  </si>
  <si>
    <t>L1545</t>
  </si>
  <si>
    <t>L1546</t>
  </si>
  <si>
    <t>L1547</t>
  </si>
  <si>
    <t>L1548</t>
  </si>
  <si>
    <t>L1549</t>
  </si>
  <si>
    <t>L1550</t>
  </si>
  <si>
    <t>L1551</t>
  </si>
  <si>
    <t>L1552</t>
  </si>
  <si>
    <t>L1553</t>
  </si>
  <si>
    <t>L1554</t>
  </si>
  <si>
    <t>L1555</t>
  </si>
  <si>
    <t>L1556</t>
  </si>
  <si>
    <t>L1557</t>
  </si>
  <si>
    <t>L1558</t>
  </si>
  <si>
    <t>L1559</t>
  </si>
  <si>
    <t>L1560</t>
  </si>
  <si>
    <t>L1561</t>
  </si>
  <si>
    <t>L1562</t>
  </si>
  <si>
    <t>L1563</t>
  </si>
  <si>
    <t>L1564</t>
  </si>
  <si>
    <t>L1565</t>
  </si>
  <si>
    <t>L1566</t>
  </si>
  <si>
    <t>L1567</t>
  </si>
  <si>
    <t>L1568</t>
  </si>
  <si>
    <t>L1569</t>
  </si>
  <si>
    <t>L1570</t>
  </si>
  <si>
    <t>L1571</t>
  </si>
  <si>
    <t>L1572</t>
  </si>
  <si>
    <t>L1573</t>
  </si>
  <si>
    <t>L1574</t>
  </si>
  <si>
    <t>L1575</t>
  </si>
  <si>
    <t>L1576</t>
  </si>
  <si>
    <t>L1577</t>
  </si>
  <si>
    <t>L1578</t>
  </si>
  <si>
    <t>L1579</t>
  </si>
  <si>
    <t>L1580</t>
  </si>
  <si>
    <t>L1581</t>
  </si>
  <si>
    <t>L1582</t>
  </si>
  <si>
    <t>L1583</t>
  </si>
  <si>
    <t>L1584</t>
  </si>
  <si>
    <t>L1585</t>
  </si>
  <si>
    <t>L1586</t>
  </si>
  <si>
    <t>L1587</t>
  </si>
  <si>
    <t>L1588</t>
  </si>
  <si>
    <t>L1589</t>
  </si>
  <si>
    <t>L1590</t>
  </si>
  <si>
    <t>L1591</t>
  </si>
  <si>
    <t>L1592</t>
  </si>
  <si>
    <t>L1593</t>
  </si>
  <si>
    <t>L1594</t>
  </si>
  <si>
    <t>L1595</t>
  </si>
  <si>
    <t>L1596</t>
  </si>
  <si>
    <t>L1597</t>
  </si>
  <si>
    <t>L1598</t>
  </si>
  <si>
    <t>L1599</t>
  </si>
  <si>
    <t>L1600</t>
  </si>
  <si>
    <t>L1601</t>
  </si>
  <si>
    <t>L1602</t>
  </si>
  <si>
    <t>L1603</t>
  </si>
  <si>
    <t>L1604</t>
  </si>
  <si>
    <t>L1605</t>
  </si>
  <si>
    <t>L1606</t>
  </si>
  <si>
    <t>L1607</t>
  </si>
  <si>
    <t>L1608</t>
  </si>
  <si>
    <t>L1609</t>
  </si>
  <si>
    <t>L1610</t>
  </si>
  <si>
    <t>L1611</t>
  </si>
  <si>
    <t>L1612</t>
  </si>
  <si>
    <t>L1613</t>
  </si>
  <si>
    <t>L1614</t>
  </si>
  <si>
    <t>L1615</t>
  </si>
  <si>
    <t>L1616</t>
  </si>
  <si>
    <t>L1617</t>
  </si>
  <si>
    <t>L1618</t>
  </si>
  <si>
    <t>L1619</t>
  </si>
  <si>
    <t>L1620</t>
  </si>
  <si>
    <t>L1621</t>
  </si>
  <si>
    <t>L1622</t>
  </si>
  <si>
    <t>L1623</t>
  </si>
  <si>
    <t>L1624</t>
  </si>
  <si>
    <t>L1625</t>
  </si>
  <si>
    <t>L1626</t>
  </si>
  <si>
    <t>L1627</t>
  </si>
  <si>
    <t>L1628</t>
  </si>
  <si>
    <t>L1629</t>
  </si>
  <si>
    <t>L1630</t>
  </si>
  <si>
    <t>L1631</t>
  </si>
  <si>
    <t>L1632</t>
  </si>
  <si>
    <t>L1633</t>
  </si>
  <si>
    <t>L1634</t>
  </si>
  <si>
    <t>L1635</t>
  </si>
  <si>
    <t>L1636</t>
  </si>
  <si>
    <t>L1637</t>
  </si>
  <si>
    <t>L1638</t>
  </si>
  <si>
    <t>L1639</t>
  </si>
  <si>
    <t>L1640</t>
  </si>
  <si>
    <t>L1641</t>
  </si>
  <si>
    <t>L1642</t>
  </si>
  <si>
    <t>L1643</t>
  </si>
  <si>
    <t>L1644</t>
  </si>
  <si>
    <t>L1645</t>
  </si>
  <si>
    <t>L1646</t>
  </si>
  <si>
    <t>L1647</t>
  </si>
  <si>
    <t>L1648</t>
  </si>
  <si>
    <t>L1649</t>
  </si>
  <si>
    <t>L1650</t>
  </si>
  <si>
    <t>L1651</t>
  </si>
  <si>
    <t>L1652</t>
  </si>
  <si>
    <t>L1653</t>
  </si>
  <si>
    <t>L1654</t>
  </si>
  <si>
    <t>L1655</t>
  </si>
  <si>
    <t>L1656</t>
  </si>
  <si>
    <t>L1657</t>
  </si>
  <si>
    <t>L1658</t>
  </si>
  <si>
    <t>L1659</t>
  </si>
  <si>
    <t>L1660</t>
  </si>
  <si>
    <t>L1661</t>
  </si>
  <si>
    <t>L1662</t>
  </si>
  <si>
    <t>L1663</t>
  </si>
  <si>
    <t>L1664</t>
  </si>
  <si>
    <t>L1665</t>
  </si>
  <si>
    <t>L1666</t>
  </si>
  <si>
    <t>L1667</t>
  </si>
  <si>
    <t>L1668</t>
  </si>
  <si>
    <t>L1669</t>
  </si>
  <si>
    <t>L1670</t>
  </si>
  <si>
    <t>L1671</t>
  </si>
  <si>
    <t>L1672</t>
  </si>
  <si>
    <t>L1673</t>
  </si>
  <si>
    <t>L1674</t>
  </si>
  <si>
    <t>L1675</t>
  </si>
  <si>
    <t>L1676</t>
  </si>
  <si>
    <t>L1677</t>
  </si>
  <si>
    <t>L1678</t>
  </si>
  <si>
    <t>L1679</t>
  </si>
  <si>
    <t>L1680</t>
  </si>
  <si>
    <t>L1681</t>
  </si>
  <si>
    <t>L1682</t>
  </si>
  <si>
    <t>L1683</t>
  </si>
  <si>
    <t>L1684</t>
  </si>
  <si>
    <t>L1685</t>
  </si>
  <si>
    <t>L1686</t>
  </si>
  <si>
    <t>L1687</t>
  </si>
  <si>
    <t>L1688</t>
  </si>
  <si>
    <t>L1689</t>
  </si>
  <si>
    <t>L1690</t>
  </si>
  <si>
    <t>L1691</t>
  </si>
  <si>
    <t>L1692</t>
  </si>
  <si>
    <t>L1693</t>
  </si>
  <si>
    <t>L1694</t>
  </si>
  <si>
    <t>L1695</t>
  </si>
  <si>
    <t>L1696</t>
  </si>
  <si>
    <t>L1697</t>
  </si>
  <si>
    <t>L1698</t>
  </si>
  <si>
    <t>L1699</t>
  </si>
  <si>
    <t>L1700</t>
  </si>
  <si>
    <t>L1701</t>
  </si>
  <si>
    <t>L1702</t>
  </si>
  <si>
    <t>L1703</t>
  </si>
  <si>
    <t>L1704</t>
  </si>
  <si>
    <t>L1705</t>
  </si>
  <si>
    <t>L1706</t>
  </si>
  <si>
    <t>L1707</t>
  </si>
  <si>
    <t>L1708</t>
  </si>
  <si>
    <t>L1709</t>
  </si>
  <si>
    <t>L1710</t>
  </si>
  <si>
    <t>L1711</t>
  </si>
  <si>
    <t>L1712</t>
  </si>
  <si>
    <t>L1713</t>
  </si>
  <si>
    <t>L1714</t>
  </si>
  <si>
    <t>L1715</t>
  </si>
  <si>
    <t>L1716</t>
  </si>
  <si>
    <t>L1717</t>
  </si>
  <si>
    <t>L1718</t>
  </si>
  <si>
    <t>L1719</t>
  </si>
  <si>
    <t>L1720</t>
  </si>
  <si>
    <t>L1721</t>
  </si>
  <si>
    <t>L1722</t>
  </si>
  <si>
    <t>L1723</t>
  </si>
  <si>
    <t>L1724</t>
  </si>
  <si>
    <t>L1725</t>
  </si>
  <si>
    <t>L1726</t>
  </si>
  <si>
    <t>L1727</t>
  </si>
  <si>
    <t>L1728</t>
  </si>
  <si>
    <t>L1729</t>
  </si>
  <si>
    <t>L1730</t>
  </si>
  <si>
    <t>L1731</t>
  </si>
  <si>
    <t>L1732</t>
  </si>
  <si>
    <t>L1733</t>
  </si>
  <si>
    <t>L1734</t>
  </si>
  <si>
    <t>L1735</t>
  </si>
  <si>
    <t>L1736</t>
  </si>
  <si>
    <t>L1737</t>
  </si>
  <si>
    <t>L1738</t>
  </si>
  <si>
    <t>L1739</t>
  </si>
  <si>
    <t>L1740</t>
  </si>
  <si>
    <t>L1741</t>
  </si>
  <si>
    <t>L1742</t>
  </si>
  <si>
    <t>L1743</t>
  </si>
  <si>
    <t>L1744</t>
  </si>
  <si>
    <t>L1745</t>
  </si>
  <si>
    <t>L1746</t>
  </si>
  <si>
    <t>L1747</t>
  </si>
  <si>
    <t>L1748</t>
  </si>
  <si>
    <t>L1749</t>
  </si>
  <si>
    <t>L1750</t>
  </si>
  <si>
    <t>L1751</t>
  </si>
  <si>
    <t>L1752</t>
  </si>
  <si>
    <t>L1753</t>
  </si>
  <si>
    <t>L1754</t>
  </si>
  <si>
    <t>L1755</t>
  </si>
  <si>
    <t>L1756</t>
  </si>
  <si>
    <t>L1757</t>
  </si>
  <si>
    <t>L1758</t>
  </si>
  <si>
    <t>L1759</t>
  </si>
  <si>
    <t>L1760</t>
  </si>
  <si>
    <t>L1761</t>
  </si>
  <si>
    <t>L1762</t>
  </si>
  <si>
    <t>L1763</t>
  </si>
  <si>
    <t>L1764</t>
  </si>
  <si>
    <t>L1765</t>
  </si>
  <si>
    <t>L1766</t>
  </si>
  <si>
    <t>L1767</t>
  </si>
  <si>
    <t>L1768</t>
  </si>
  <si>
    <t>L1769</t>
  </si>
  <si>
    <t>L1770</t>
  </si>
  <si>
    <t>L1771</t>
  </si>
  <si>
    <t>L1772</t>
  </si>
  <si>
    <t>L1773</t>
  </si>
  <si>
    <t>L1774</t>
  </si>
  <si>
    <t>L1775</t>
  </si>
  <si>
    <t>L1776</t>
  </si>
  <si>
    <t>L1777</t>
  </si>
  <si>
    <t>L1778</t>
  </si>
  <si>
    <t>L1779</t>
  </si>
  <si>
    <t>L1780</t>
  </si>
  <si>
    <t>L1781</t>
  </si>
  <si>
    <t>L1782</t>
  </si>
  <si>
    <t>L1783</t>
  </si>
  <si>
    <t>L1784</t>
  </si>
  <si>
    <t>L1785</t>
  </si>
  <si>
    <t>L1786</t>
  </si>
  <si>
    <t>L1787</t>
  </si>
  <si>
    <t>L1788</t>
  </si>
  <si>
    <t>L1789</t>
  </si>
  <si>
    <t>L1790</t>
  </si>
  <si>
    <t>L1791</t>
  </si>
  <si>
    <t>L1792</t>
  </si>
  <si>
    <t>L1793</t>
  </si>
  <si>
    <t>L1794</t>
  </si>
  <si>
    <t>L1795</t>
  </si>
  <si>
    <t>L1796</t>
  </si>
  <si>
    <t>L1797</t>
  </si>
  <si>
    <t>L1798</t>
  </si>
  <si>
    <t>L1799</t>
  </si>
  <si>
    <t>L1800</t>
  </si>
  <si>
    <t>L1801</t>
  </si>
  <si>
    <t>L1802</t>
  </si>
  <si>
    <t>L1803</t>
  </si>
  <si>
    <t>L1804</t>
  </si>
  <si>
    <t>L1805</t>
  </si>
  <si>
    <t>L1806</t>
  </si>
  <si>
    <t>L1807</t>
  </si>
  <si>
    <t>L1808</t>
  </si>
  <si>
    <t>L1809</t>
  </si>
  <si>
    <t>L1810</t>
  </si>
  <si>
    <t>L1811</t>
  </si>
  <si>
    <t>L1812</t>
  </si>
  <si>
    <t>L1813</t>
  </si>
  <si>
    <t>L1814</t>
  </si>
  <si>
    <t>L1815</t>
  </si>
  <si>
    <t>L1816</t>
  </si>
  <si>
    <t>L1817</t>
  </si>
  <si>
    <t>L1818</t>
  </si>
  <si>
    <t>L1819</t>
  </si>
  <si>
    <t>L1820</t>
  </si>
  <si>
    <t>L1821</t>
  </si>
  <si>
    <t>L1822</t>
  </si>
  <si>
    <t>L1823</t>
  </si>
  <si>
    <t>L1824</t>
  </si>
  <si>
    <t>L1825</t>
  </si>
  <si>
    <t>L1826</t>
  </si>
  <si>
    <t>L1827</t>
  </si>
  <si>
    <t>L1828</t>
  </si>
  <si>
    <t>L1829</t>
  </si>
  <si>
    <t>L1830</t>
  </si>
  <si>
    <t>L1831</t>
  </si>
  <si>
    <t>L1832</t>
  </si>
  <si>
    <t>L1833</t>
  </si>
  <si>
    <t>L1834</t>
  </si>
  <si>
    <t>L1835</t>
  </si>
  <si>
    <t>L1836</t>
  </si>
  <si>
    <t>L1837</t>
  </si>
  <si>
    <t>L1838</t>
  </si>
  <si>
    <t>L1839</t>
  </si>
  <si>
    <t>L1840</t>
  </si>
  <si>
    <t>L1841</t>
  </si>
  <si>
    <t>L1842</t>
  </si>
  <si>
    <t>L1843</t>
  </si>
  <si>
    <t>L1844</t>
  </si>
  <si>
    <t>L1845</t>
  </si>
  <si>
    <t>L1846</t>
  </si>
  <si>
    <t>L1847</t>
  </si>
  <si>
    <t>L1848</t>
  </si>
  <si>
    <t>L1849</t>
  </si>
  <si>
    <t>L1850</t>
  </si>
  <si>
    <t>L1851</t>
  </si>
  <si>
    <t>L1852</t>
  </si>
  <si>
    <t>L1853</t>
  </si>
  <si>
    <t>L1854</t>
  </si>
  <si>
    <t>L1855</t>
  </si>
  <si>
    <t>L1856</t>
  </si>
  <si>
    <t>L1857</t>
  </si>
  <si>
    <t>L1858</t>
  </si>
  <si>
    <t>L1859</t>
  </si>
  <si>
    <t>L1860</t>
  </si>
  <si>
    <t>L1861</t>
  </si>
  <si>
    <t>L1862</t>
  </si>
  <si>
    <t>L1863</t>
  </si>
  <si>
    <t>L1864</t>
  </si>
  <si>
    <t>L1865</t>
  </si>
  <si>
    <t>L1866</t>
  </si>
  <si>
    <t>L1867</t>
  </si>
  <si>
    <t>L1868</t>
  </si>
  <si>
    <t>L1869</t>
  </si>
  <si>
    <t>L1870</t>
  </si>
  <si>
    <t>L1871</t>
  </si>
  <si>
    <t>L1872</t>
  </si>
  <si>
    <t>L1873</t>
  </si>
  <si>
    <t>L1874</t>
  </si>
  <si>
    <t>L1875</t>
  </si>
  <si>
    <t>L1876</t>
  </si>
  <si>
    <t>L1877</t>
  </si>
  <si>
    <t>L1878</t>
  </si>
  <si>
    <t>L1879</t>
  </si>
  <si>
    <t>L1880</t>
  </si>
  <si>
    <t>L1881</t>
  </si>
  <si>
    <t>L1882</t>
  </si>
  <si>
    <t>L1883</t>
  </si>
  <si>
    <t>L1884</t>
  </si>
  <si>
    <t>L1885</t>
  </si>
  <si>
    <t>L1886</t>
  </si>
  <si>
    <t>L1887</t>
  </si>
  <si>
    <t>L1888</t>
  </si>
  <si>
    <t>L1889</t>
  </si>
  <si>
    <t>L1890</t>
  </si>
  <si>
    <t>L1891</t>
  </si>
  <si>
    <t>L1892</t>
  </si>
  <si>
    <t>L1893</t>
  </si>
  <si>
    <t>L1894</t>
  </si>
  <si>
    <t>L1895</t>
  </si>
  <si>
    <t>L1896</t>
  </si>
  <si>
    <t>L1897</t>
  </si>
  <si>
    <t>L1898</t>
  </si>
  <si>
    <t>L1899</t>
  </si>
  <si>
    <t>L1900</t>
  </si>
  <si>
    <t>L1901</t>
  </si>
  <si>
    <t>L1902</t>
  </si>
  <si>
    <t>L1903</t>
  </si>
  <si>
    <t>L1904</t>
  </si>
  <si>
    <t>L1905</t>
  </si>
  <si>
    <t>L1906</t>
  </si>
  <si>
    <t>L1907</t>
  </si>
  <si>
    <t>L1908</t>
  </si>
  <si>
    <t>L1909</t>
  </si>
  <si>
    <t>L1910</t>
  </si>
  <si>
    <t>L1911</t>
  </si>
  <si>
    <t>L1912</t>
  </si>
  <si>
    <t>L1913</t>
  </si>
  <si>
    <t>L1914</t>
  </si>
  <si>
    <t>L1915</t>
  </si>
  <si>
    <t>L1916</t>
  </si>
  <si>
    <t>L1917</t>
  </si>
  <si>
    <t>L1918</t>
  </si>
  <si>
    <t>L1919</t>
  </si>
  <si>
    <t>L1920</t>
  </si>
  <si>
    <t>L1921</t>
  </si>
  <si>
    <t>L1922</t>
  </si>
  <si>
    <t>L1923</t>
  </si>
  <si>
    <t>L1924</t>
  </si>
  <si>
    <t>L1925</t>
  </si>
  <si>
    <t>L1926</t>
  </si>
  <si>
    <t>L1927</t>
  </si>
  <si>
    <t>L1928</t>
  </si>
  <si>
    <t>L1929</t>
  </si>
  <si>
    <t>L1930</t>
  </si>
  <si>
    <t>L1931</t>
  </si>
  <si>
    <t>L1932</t>
  </si>
  <si>
    <t>L1933</t>
  </si>
  <si>
    <t>L1934</t>
  </si>
  <si>
    <t>L1935</t>
  </si>
  <si>
    <t>L1936</t>
  </si>
  <si>
    <t>L1937</t>
  </si>
  <si>
    <t>L1938</t>
  </si>
  <si>
    <t>L1939</t>
  </si>
  <si>
    <t>L1940</t>
  </si>
  <si>
    <t>L1941</t>
  </si>
  <si>
    <t>L1942</t>
  </si>
  <si>
    <t>L1943</t>
  </si>
  <si>
    <t>L1944</t>
  </si>
  <si>
    <t>L1945</t>
  </si>
  <si>
    <t>L1946</t>
  </si>
  <si>
    <t>L1947</t>
  </si>
  <si>
    <t>L1948</t>
  </si>
  <si>
    <t>L1949</t>
  </si>
  <si>
    <t>L1950</t>
  </si>
  <si>
    <t>L1951</t>
  </si>
  <si>
    <t>L1952</t>
  </si>
  <si>
    <t>L1953</t>
  </si>
  <si>
    <t>L1954</t>
  </si>
  <si>
    <t>L1955</t>
  </si>
  <si>
    <t>L1956</t>
  </si>
  <si>
    <t>L1957</t>
  </si>
  <si>
    <t>L1958</t>
  </si>
  <si>
    <t>L1959</t>
  </si>
  <si>
    <t>L1960</t>
  </si>
  <si>
    <t>L1961</t>
  </si>
  <si>
    <t>L1962</t>
  </si>
  <si>
    <t>L1963</t>
  </si>
  <si>
    <t>L1964</t>
  </si>
  <si>
    <t>L1965</t>
  </si>
  <si>
    <t>L1966</t>
  </si>
  <si>
    <t>L1967</t>
  </si>
  <si>
    <t>L1968</t>
  </si>
  <si>
    <t>L1969</t>
  </si>
  <si>
    <t>L1970</t>
  </si>
  <si>
    <t>L1971</t>
  </si>
  <si>
    <t>L1972</t>
  </si>
  <si>
    <t>L1973</t>
  </si>
  <si>
    <t>L1974</t>
  </si>
  <si>
    <t>L1975</t>
  </si>
  <si>
    <t>L1976</t>
  </si>
  <si>
    <t>L1977</t>
  </si>
  <si>
    <t>L1978</t>
  </si>
  <si>
    <t>L1979</t>
  </si>
  <si>
    <t>L1980</t>
  </si>
  <si>
    <t>L1981</t>
  </si>
  <si>
    <t>L1982</t>
  </si>
  <si>
    <t>L1983</t>
  </si>
  <si>
    <t>L1984</t>
  </si>
  <si>
    <t>L1985</t>
  </si>
  <si>
    <t>L1986</t>
  </si>
  <si>
    <t>L1987</t>
  </si>
  <si>
    <t>L1988</t>
  </si>
  <si>
    <t>L1989</t>
  </si>
  <si>
    <t>L1990</t>
  </si>
  <si>
    <t>L1991</t>
  </si>
  <si>
    <t>L1992</t>
  </si>
  <si>
    <t>L1993</t>
  </si>
  <si>
    <t>L1994</t>
  </si>
  <si>
    <t>L1995</t>
  </si>
  <si>
    <t>L1996</t>
  </si>
  <si>
    <t>L1997</t>
  </si>
  <si>
    <t>L1998</t>
  </si>
  <si>
    <t>L1999</t>
  </si>
  <si>
    <t>Count of Lead ID</t>
  </si>
  <si>
    <t>Grand Total</t>
  </si>
  <si>
    <t>Count of Lead Date</t>
  </si>
  <si>
    <t>Count of Pre-Booking Date</t>
  </si>
  <si>
    <t>Count of Booking Date</t>
  </si>
  <si>
    <t>Count of Delivery Date</t>
  </si>
  <si>
    <t>Store Room</t>
  </si>
  <si>
    <t>Count of Delhivery Date</t>
  </si>
  <si>
    <t xml:space="preserve">Conversion from Lead to Pre-Booking </t>
  </si>
  <si>
    <t xml:space="preserve">Conversion from Pre-Booking to Booking </t>
  </si>
  <si>
    <t xml:space="preserve">Conversion from Booking to Delivery </t>
  </si>
  <si>
    <t>Conversion at each stage</t>
  </si>
  <si>
    <t>Final Conversion</t>
  </si>
  <si>
    <t xml:space="preserve">Conversion from Lead Date to Delivery </t>
  </si>
  <si>
    <t>Average of TAT Pre-Booking (Days)</t>
  </si>
  <si>
    <t>Average of TAT Booking (Days)</t>
  </si>
  <si>
    <t>Average of TAT Delivery (Days)</t>
  </si>
  <si>
    <t>Avg. TAT for Lead to Pre-Booking stage</t>
  </si>
  <si>
    <t>Avg. TAT for Booking to Delivery stage</t>
  </si>
  <si>
    <t>Avg. TAT for Pre-Booking to Booking stage</t>
  </si>
  <si>
    <t>Changed mind</t>
  </si>
  <si>
    <t>Financing issue</t>
  </si>
  <si>
    <t>Count of Lead Type</t>
  </si>
  <si>
    <t xml:space="preserve">Percentage of Total Lead Count </t>
  </si>
  <si>
    <t>Total</t>
  </si>
  <si>
    <t>Delivery Status</t>
  </si>
  <si>
    <t>not cancelled</t>
  </si>
  <si>
    <t>Delivered</t>
  </si>
  <si>
    <t>Not Delivered</t>
  </si>
  <si>
    <t>Percentage Delivered</t>
  </si>
  <si>
    <t xml:space="preserve"> </t>
  </si>
  <si>
    <t>Percentage Not Cancelled</t>
  </si>
  <si>
    <t>Feedback</t>
  </si>
  <si>
    <t>Promoters</t>
  </si>
  <si>
    <t>Passives</t>
  </si>
  <si>
    <t>Detractors</t>
  </si>
  <si>
    <t>Percentage NPS (Net Promoter Score) = Percenatge Promoters - Percentage Detractors</t>
  </si>
  <si>
    <t>Percentage NPS</t>
  </si>
  <si>
    <t>Question 1.1: Conversion rates</t>
  </si>
  <si>
    <t>Question 1.2: Average TAT for each stage per store</t>
  </si>
  <si>
    <t>Question 1.3: Cancellation patterns by store and reason</t>
  </si>
  <si>
    <t>Question 1.4: Breakdown of Hot/Warm/Cold leads</t>
  </si>
  <si>
    <t>Question 1.5: NPS of each store</t>
  </si>
  <si>
    <t>Question 2: Highlight high-potential leads</t>
  </si>
  <si>
    <t>Total Number</t>
  </si>
  <si>
    <t>Select Store Name</t>
  </si>
  <si>
    <t>Number of Leads</t>
  </si>
  <si>
    <t>Select Lead Type</t>
  </si>
  <si>
    <t>Reviewers</t>
  </si>
  <si>
    <t>Number of Customers</t>
  </si>
  <si>
    <t>Total count of Customers</t>
  </si>
  <si>
    <t>% cancellation per Store</t>
  </si>
  <si>
    <t>Not Available</t>
  </si>
  <si>
    <t>NOTE: High potentials leads are highlighted in "Sheet 1"</t>
  </si>
  <si>
    <t>The analysis for this question is done by using Pivot Table.</t>
  </si>
  <si>
    <t>The analysis for this question is done by using Excel Formulas.</t>
  </si>
  <si>
    <t>ASSUMPTION: Customer rating &lt;=6 are Detractors, 7 and 8 are Passives, 9 and 10 are Promoters</t>
  </si>
  <si>
    <t>All the Analysis and Dashboarding is done in MS Excel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</si>
</sst>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71">
    <xf numFmtId="0" fontId="0" fillId="0" borderId="0" xfId="0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164" fontId="6" fillId="0" borderId="0" xfId="0" applyNumberFormat="1" applyFont="1"/>
    <xf numFmtId="9" fontId="0" fillId="0" borderId="0" xfId="1" applyFont="1"/>
    <xf numFmtId="0" fontId="0" fillId="3" borderId="2" xfId="0" applyFill="1" applyBorder="1" applyAlignment="1">
      <alignment horizontal="left"/>
    </xf>
    <xf numFmtId="0" fontId="0" fillId="3" borderId="2" xfId="0" applyFill="1" applyBorder="1"/>
    <xf numFmtId="0" fontId="0" fillId="0" borderId="2" xfId="0" applyBorder="1"/>
    <xf numFmtId="9" fontId="0" fillId="0" borderId="2" xfId="1" applyFont="1" applyBorder="1"/>
    <xf numFmtId="0" fontId="0" fillId="0" borderId="2" xfId="0" pivotButton="1" applyBorder="1"/>
    <xf numFmtId="0" fontId="0" fillId="0" borderId="2" xfId="0" applyBorder="1" applyAlignment="1">
      <alignment horizontal="left"/>
    </xf>
    <xf numFmtId="0" fontId="0" fillId="3" borderId="2" xfId="0" applyFill="1" applyBorder="1" applyAlignment="1">
      <alignment wrapText="1"/>
    </xf>
    <xf numFmtId="0" fontId="0" fillId="3" borderId="2" xfId="0" applyFill="1" applyBorder="1" applyAlignment="1">
      <alignment horizontal="left" wrapText="1"/>
    </xf>
    <xf numFmtId="0" fontId="3" fillId="0" borderId="0" xfId="0" applyFont="1"/>
    <xf numFmtId="0" fontId="3" fillId="3" borderId="2" xfId="0" applyFont="1" applyFill="1" applyBorder="1" applyAlignment="1">
      <alignment wrapText="1"/>
    </xf>
    <xf numFmtId="2" fontId="0" fillId="0" borderId="2" xfId="0" applyNumberFormat="1" applyBorder="1"/>
    <xf numFmtId="0" fontId="0" fillId="0" borderId="2" xfId="0" pivotButton="1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pivotButton="1" applyBorder="1" applyAlignment="1">
      <alignment wrapText="1"/>
    </xf>
    <xf numFmtId="0" fontId="0" fillId="0" borderId="6" xfId="0" applyBorder="1"/>
    <xf numFmtId="0" fontId="3" fillId="3" borderId="2" xfId="0" applyFont="1" applyFill="1" applyBorder="1"/>
    <xf numFmtId="0" fontId="9" fillId="0" borderId="1" xfId="0" applyFont="1" applyBorder="1" applyAlignment="1">
      <alignment horizontal="center" vertical="top"/>
    </xf>
    <xf numFmtId="164" fontId="10" fillId="0" borderId="0" xfId="0" applyNumberFormat="1" applyFont="1"/>
    <xf numFmtId="0" fontId="11" fillId="0" borderId="0" xfId="0" applyFont="1"/>
    <xf numFmtId="0" fontId="3" fillId="3" borderId="2" xfId="0" applyFont="1" applyFill="1" applyBorder="1" applyAlignment="1">
      <alignment horizontal="left" wrapText="1"/>
    </xf>
    <xf numFmtId="0" fontId="3" fillId="3" borderId="7" xfId="0" applyFont="1" applyFill="1" applyBorder="1" applyAlignment="1">
      <alignment horizontal="left" wrapText="1"/>
    </xf>
    <xf numFmtId="0" fontId="0" fillId="3" borderId="7" xfId="0" applyFill="1" applyBorder="1" applyAlignment="1">
      <alignment horizontal="left"/>
    </xf>
    <xf numFmtId="0" fontId="5" fillId="3" borderId="2" xfId="0" applyFont="1" applyFill="1" applyBorder="1"/>
    <xf numFmtId="0" fontId="4" fillId="0" borderId="8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3" fillId="0" borderId="2" xfId="0" applyFont="1" applyBorder="1"/>
    <xf numFmtId="9" fontId="0" fillId="7" borderId="2" xfId="1" applyFont="1" applyFill="1" applyBorder="1"/>
    <xf numFmtId="0" fontId="0" fillId="2" borderId="2" xfId="0" applyFill="1" applyBorder="1"/>
    <xf numFmtId="0" fontId="0" fillId="0" borderId="0" xfId="0" applyAlignment="1">
      <alignment wrapText="1"/>
    </xf>
    <xf numFmtId="0" fontId="0" fillId="8" borderId="2" xfId="0" applyFill="1" applyBorder="1"/>
    <xf numFmtId="0" fontId="2" fillId="0" borderId="0" xfId="0" applyFont="1"/>
    <xf numFmtId="0" fontId="2" fillId="3" borderId="2" xfId="0" applyFont="1" applyFill="1" applyBorder="1"/>
    <xf numFmtId="0" fontId="7" fillId="0" borderId="2" xfId="0" applyFont="1" applyBorder="1"/>
    <xf numFmtId="10" fontId="0" fillId="0" borderId="2" xfId="1" applyNumberFormat="1" applyFont="1" applyBorder="1"/>
    <xf numFmtId="9" fontId="0" fillId="9" borderId="2" xfId="1" applyFont="1" applyFill="1" applyBorder="1"/>
    <xf numFmtId="9" fontId="0" fillId="10" borderId="2" xfId="1" applyFont="1" applyFill="1" applyBorder="1"/>
    <xf numFmtId="0" fontId="5" fillId="6" borderId="0" xfId="0" applyFont="1" applyFill="1"/>
    <xf numFmtId="0" fontId="0" fillId="0" borderId="0" xfId="0" applyAlignment="1">
      <alignment horizontal="left"/>
    </xf>
    <xf numFmtId="0" fontId="0" fillId="0" borderId="0" xfId="1" applyNumberFormat="1" applyFont="1" applyBorder="1"/>
    <xf numFmtId="9" fontId="0" fillId="0" borderId="0" xfId="1" applyFont="1" applyBorder="1"/>
    <xf numFmtId="0" fontId="0" fillId="2" borderId="0" xfId="0" applyFill="1"/>
    <xf numFmtId="0" fontId="0" fillId="12" borderId="0" xfId="0" applyFill="1"/>
    <xf numFmtId="0" fontId="0" fillId="0" borderId="0" xfId="0" applyAlignment="1">
      <alignment horizontal="left" wrapText="1"/>
    </xf>
    <xf numFmtId="0" fontId="12" fillId="12" borderId="0" xfId="0" applyFont="1" applyFill="1"/>
    <xf numFmtId="0" fontId="0" fillId="13" borderId="0" xfId="0" applyFill="1"/>
    <xf numFmtId="0" fontId="0" fillId="2" borderId="0" xfId="0" applyFill="1" applyAlignment="1">
      <alignment wrapText="1"/>
    </xf>
    <xf numFmtId="0" fontId="12" fillId="12" borderId="0" xfId="0" applyFont="1" applyFill="1" applyAlignment="1">
      <alignment wrapText="1"/>
    </xf>
    <xf numFmtId="0" fontId="0" fillId="13" borderId="0" xfId="0" applyFill="1" applyAlignment="1">
      <alignment wrapText="1"/>
    </xf>
    <xf numFmtId="1" fontId="12" fillId="12" borderId="0" xfId="0" applyNumberFormat="1" applyFont="1" applyFill="1"/>
    <xf numFmtId="0" fontId="0" fillId="14" borderId="0" xfId="0" applyFill="1"/>
    <xf numFmtId="0" fontId="8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8" fillId="2" borderId="0" xfId="0" applyFont="1" applyFill="1"/>
    <xf numFmtId="0" fontId="0" fillId="2" borderId="0" xfId="0" applyFill="1"/>
    <xf numFmtId="0" fontId="1" fillId="11" borderId="0" xfId="0" applyFont="1" applyFill="1"/>
    <xf numFmtId="0" fontId="0" fillId="11" borderId="0" xfId="0" applyFill="1"/>
    <xf numFmtId="0" fontId="8" fillId="4" borderId="0" xfId="0" applyFont="1" applyFill="1" applyAlignment="1">
      <alignment wrapText="1"/>
    </xf>
    <xf numFmtId="0" fontId="11" fillId="4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0" fillId="4" borderId="3" xfId="0" applyFill="1" applyBorder="1" applyAlignment="1">
      <alignment horizontal="center"/>
    </xf>
    <xf numFmtId="0" fontId="13" fillId="15" borderId="0" xfId="0" applyFont="1" applyFill="1" applyAlignment="1">
      <alignment horizont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43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1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i="1"/>
              <a:t>Average TAT Performance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1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7.6857606539640563E-2"/>
          <c:y val="0.14306574074074074"/>
          <c:w val="0.90533068862575383"/>
          <c:h val="0.51636975308641964"/>
        </c:manualLayout>
      </c:layout>
      <c:lineChart>
        <c:grouping val="stacked"/>
        <c:varyColors val="0"/>
        <c:ser>
          <c:idx val="0"/>
          <c:order val="0"/>
          <c:tx>
            <c:strRef>
              <c:f>Solutions!$E$42</c:f>
              <c:strCache>
                <c:ptCount val="1"/>
                <c:pt idx="0">
                  <c:v>Avg. TAT for Lead to Pre-Booking stage</c:v>
                </c:pt>
              </c:strCache>
            </c:strRef>
          </c:tx>
          <c:spPr>
            <a:ln w="31750" cap="rnd">
              <a:solidFill>
                <a:schemeClr val="accent6">
                  <a:tint val="6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>
                  <a:tint val="65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Solutions!$D$43:$D$46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Solutions!$E$43:$E$46</c:f>
              <c:numCache>
                <c:formatCode>0.00</c:formatCode>
                <c:ptCount val="4"/>
                <c:pt idx="0">
                  <c:v>3.1179245283018902</c:v>
                </c:pt>
                <c:pt idx="1">
                  <c:v>3.1213872832369942</c:v>
                </c:pt>
                <c:pt idx="2">
                  <c:v>3.0283018867924527</c:v>
                </c:pt>
                <c:pt idx="3">
                  <c:v>2.9767441860465116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9D-4309-9666-7010F0AC5E3E}"/>
            </c:ext>
          </c:extLst>
        </c:ser>
        <c:ser>
          <c:idx val="1"/>
          <c:order val="1"/>
          <c:tx>
            <c:strRef>
              <c:f>Solutions!$F$42</c:f>
              <c:strCache>
                <c:ptCount val="1"/>
                <c:pt idx="0">
                  <c:v>Avg. TAT for Pre-Booking to Booking stage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Solutions!$D$43:$D$46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Solutions!$F$43:$F$46</c:f>
              <c:numCache>
                <c:formatCode>0.00</c:formatCode>
                <c:ptCount val="4"/>
                <c:pt idx="0">
                  <c:v>3.0330188679245285</c:v>
                </c:pt>
                <c:pt idx="1">
                  <c:v>3.2023121387283235</c:v>
                </c:pt>
                <c:pt idx="2">
                  <c:v>3.0188679245283021</c:v>
                </c:pt>
                <c:pt idx="3">
                  <c:v>3.0465116279069768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9D-4309-9666-7010F0AC5E3E}"/>
            </c:ext>
          </c:extLst>
        </c:ser>
        <c:ser>
          <c:idx val="2"/>
          <c:order val="2"/>
          <c:tx>
            <c:strRef>
              <c:f>Solutions!$G$42</c:f>
              <c:strCache>
                <c:ptCount val="1"/>
                <c:pt idx="0">
                  <c:v>Avg. TAT for Booking to Delivery stage</c:v>
                </c:pt>
              </c:strCache>
            </c:strRef>
          </c:tx>
          <c:spPr>
            <a:ln w="31750" cap="rnd">
              <a:solidFill>
                <a:schemeClr val="accent6">
                  <a:shade val="6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>
                  <a:shade val="65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Solutions!$D$43:$D$46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Solutions!$G$43:$G$46</c:f>
              <c:numCache>
                <c:formatCode>0.00</c:formatCode>
                <c:ptCount val="4"/>
                <c:pt idx="0">
                  <c:v>4.5141509433962268</c:v>
                </c:pt>
                <c:pt idx="1">
                  <c:v>4.3872832369942198</c:v>
                </c:pt>
                <c:pt idx="2">
                  <c:v>4.283018867924528</c:v>
                </c:pt>
                <c:pt idx="3">
                  <c:v>4.6279069767441863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9D-4309-9666-7010F0AC5E3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58503855"/>
        <c:axId val="1758504335"/>
      </c:lineChart>
      <c:catAx>
        <c:axId val="175850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504335"/>
        <c:crosses val="autoZero"/>
        <c:auto val="1"/>
        <c:lblAlgn val="ctr"/>
        <c:lblOffset val="100"/>
        <c:noMultiLvlLbl val="0"/>
      </c:catAx>
      <c:valAx>
        <c:axId val="175850433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Avg. TAT Performance </a:t>
                </a:r>
              </a:p>
            </c:rich>
          </c:tx>
          <c:layout>
            <c:manualLayout>
              <c:xMode val="edge"/>
              <c:yMode val="edge"/>
              <c:x val="5.0890585241730277E-2"/>
              <c:y val="0.158069257471848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crossAx val="175850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1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300" i="1"/>
              <a:t>Cancellation Trends and Reasons</a:t>
            </a:r>
            <a:endParaRPr lang="en-US" sz="130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1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54318836914441"/>
          <c:y val="0.11217399848837761"/>
          <c:w val="0.87614375"/>
          <c:h val="0.681215174190182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BD2D-4277-8600-3A1BBB94209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BD2D-4277-8600-3A1BBB94209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BD2D-4277-8600-3A1BBB94209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BD2D-4277-8600-3A1BBB94209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BD2D-4277-8600-3A1BBB9420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Dashboard_!$W$17:$W$21</c:f>
              <c:strCache>
                <c:ptCount val="5"/>
                <c:pt idx="0">
                  <c:v>Changed Mind</c:v>
                </c:pt>
                <c:pt idx="1">
                  <c:v>Financing issue</c:v>
                </c:pt>
                <c:pt idx="2">
                  <c:v>Model Unavailable</c:v>
                </c:pt>
                <c:pt idx="3">
                  <c:v>Other</c:v>
                </c:pt>
                <c:pt idx="4">
                  <c:v>Price</c:v>
                </c:pt>
              </c:strCache>
            </c:strRef>
          </c:cat>
          <c:val>
            <c:numRef>
              <c:f>Dashboard_!$X$17:$X$21</c:f>
              <c:numCache>
                <c:formatCode>General</c:formatCode>
                <c:ptCount val="5"/>
                <c:pt idx="0">
                  <c:v>15</c:v>
                </c:pt>
                <c:pt idx="1">
                  <c:v>10</c:v>
                </c:pt>
                <c:pt idx="2">
                  <c:v>8</c:v>
                </c:pt>
                <c:pt idx="3">
                  <c:v>8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D2D-4277-8600-3A1BBB94209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86679919"/>
        <c:axId val="1686680399"/>
      </c:barChart>
      <c:catAx>
        <c:axId val="1686679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Cancellation Reason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680399"/>
        <c:crosses val="autoZero"/>
        <c:auto val="1"/>
        <c:lblAlgn val="ctr"/>
        <c:lblOffset val="100"/>
        <c:noMultiLvlLbl val="0"/>
      </c:catAx>
      <c:valAx>
        <c:axId val="1686680399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Cancellation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crossAx val="168667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1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300" i="1"/>
              <a:t>Distribution of Leads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1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8446180870758503E-2"/>
          <c:y val="0.20546962797705762"/>
          <c:w val="0.75454930751294069"/>
          <c:h val="0.75224179410124281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02A1-43F2-ACD8-59AEA1D44BF5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02A1-43F2-ACD8-59AEA1D44BF5}"/>
              </c:ext>
            </c:extLst>
          </c:dPt>
          <c:dPt>
            <c:idx val="2"/>
            <c:bubble3D val="0"/>
            <c:spPr>
              <a:solidFill>
                <a:schemeClr val="accent6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02A1-43F2-ACD8-59AEA1D44BF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Dashboard_!$H$36:$H$38</c:f>
              <c:strCache>
                <c:ptCount val="3"/>
                <c:pt idx="0">
                  <c:v>Hot</c:v>
                </c:pt>
                <c:pt idx="1">
                  <c:v>Cold</c:v>
                </c:pt>
                <c:pt idx="2">
                  <c:v>Warm</c:v>
                </c:pt>
              </c:strCache>
            </c:strRef>
          </c:cat>
          <c:val>
            <c:numRef>
              <c:f>Dashboard_!$I$36:$I$38</c:f>
              <c:numCache>
                <c:formatCode>General</c:formatCode>
                <c:ptCount val="3"/>
                <c:pt idx="0">
                  <c:v>80</c:v>
                </c:pt>
                <c:pt idx="1">
                  <c:v>51</c:v>
                </c:pt>
                <c:pt idx="2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2A1-43F2-ACD8-59AEA1D44BF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988785012521625"/>
          <c:y val="0.42664138786451006"/>
          <c:w val="0.1679767328298736"/>
          <c:h val="0.27289535241869023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1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300" i="1"/>
              <a:t>Customer Ratings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1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308801169590645"/>
          <c:y val="0.20292735042735041"/>
          <c:w val="0.47113421052631577"/>
          <c:h val="0.6885807692307692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F58-49D2-902D-CB941F98EB53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F58-49D2-902D-CB941F98EB53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F58-49D2-902D-CB941F98EB5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Dashboard_!$R$35:$R$37</c:f>
              <c:strCache>
                <c:ptCount val="3"/>
                <c:pt idx="0">
                  <c:v>Promoters</c:v>
                </c:pt>
                <c:pt idx="1">
                  <c:v>Passives</c:v>
                </c:pt>
                <c:pt idx="2">
                  <c:v>Detractors</c:v>
                </c:pt>
              </c:strCache>
            </c:strRef>
          </c:cat>
          <c:val>
            <c:numRef>
              <c:f>Dashboard_!$S$35:$S$37</c:f>
              <c:numCache>
                <c:formatCode>General</c:formatCode>
                <c:ptCount val="3"/>
                <c:pt idx="0">
                  <c:v>23</c:v>
                </c:pt>
                <c:pt idx="1">
                  <c:v>38</c:v>
                </c:pt>
                <c:pt idx="2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58-49D2-902D-CB941F98EB5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701315789473683"/>
          <c:y val="0.36497991452991457"/>
          <c:w val="0.25471198830409358"/>
          <c:h val="0.38330854700854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3EF7-40C2-B9F0-208AF919CAD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EF7-40C2-B9F0-208AF919CAD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3EF7-40C2-B9F0-208AF919CAD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EF7-40C2-B9F0-208AF919CAD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3EF7-40C2-B9F0-208AF919CAD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EF7-40C2-B9F0-208AF919CAD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3EF7-40C2-B9F0-208AF919CAD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EF7-40C2-B9F0-208AF919CAD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3EF7-40C2-B9F0-208AF919CAD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EF7-40C2-B9F0-208AF919CAD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3EF7-40C2-B9F0-208AF919CA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Dashboard_!$K$48:$K$58</c:f>
              <c:numCache>
                <c:formatCode>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Dashboard_!$L$48:$L$58</c:f>
              <c:numCache>
                <c:formatCode>General</c:formatCode>
                <c:ptCount val="11"/>
                <c:pt idx="0">
                  <c:v>1</c:v>
                </c:pt>
                <c:pt idx="1">
                  <c:v>5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4</c:v>
                </c:pt>
                <c:pt idx="6">
                  <c:v>7</c:v>
                </c:pt>
                <c:pt idx="7">
                  <c:v>9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F7-40C2-B9F0-208AF919CAD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27862239"/>
        <c:axId val="1527867519"/>
      </c:barChart>
      <c:catAx>
        <c:axId val="1527862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i="1">
                    <a:solidFill>
                      <a:schemeClr val="tx1"/>
                    </a:solidFill>
                  </a:rPr>
                  <a:t>Customer 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867519"/>
        <c:crosses val="autoZero"/>
        <c:auto val="1"/>
        <c:lblAlgn val="ctr"/>
        <c:lblOffset val="100"/>
        <c:noMultiLvlLbl val="0"/>
      </c:catAx>
      <c:valAx>
        <c:axId val="1527867519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i="1">
                    <a:solidFill>
                      <a:schemeClr val="tx1"/>
                    </a:solidFill>
                  </a:rPr>
                  <a:t>Total number of Customers</a:t>
                </a:r>
              </a:p>
            </c:rich>
          </c:tx>
          <c:layout>
            <c:manualLayout>
              <c:xMode val="edge"/>
              <c:yMode val="edge"/>
              <c:x val="4.1666666666666664E-2"/>
              <c:y val="0.187133639545056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527862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1" u="none" strike="noStrike" baseline="0">
                <a:solidFill>
                  <a:srgbClr val="FF0000"/>
                </a:solidFill>
              </a:rPr>
              <a:t>Average TAT Performance by Stage</a:t>
            </a:r>
            <a:endParaRPr lang="en-IN" b="1" i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7.6857606539640563E-2"/>
          <c:y val="0.14306574074074074"/>
          <c:w val="0.90533068862575383"/>
          <c:h val="0.51636975308641964"/>
        </c:manualLayout>
      </c:layout>
      <c:lineChart>
        <c:grouping val="stacked"/>
        <c:varyColors val="0"/>
        <c:ser>
          <c:idx val="0"/>
          <c:order val="0"/>
          <c:tx>
            <c:strRef>
              <c:f>Solutions!$E$42</c:f>
              <c:strCache>
                <c:ptCount val="1"/>
                <c:pt idx="0">
                  <c:v>Avg. TAT for Lead to Pre-Booking stage</c:v>
                </c:pt>
              </c:strCache>
            </c:strRef>
          </c:tx>
          <c:spPr>
            <a:ln w="28575" cap="rnd">
              <a:solidFill>
                <a:schemeClr val="accent6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tint val="65000"/>
                </a:schemeClr>
              </a:solidFill>
              <a:ln w="9525">
                <a:solidFill>
                  <a:schemeClr val="accent6">
                    <a:tint val="6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1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Solutions!$D$43:$D$46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Solutions!$E$43:$E$46</c:f>
              <c:numCache>
                <c:formatCode>0.00</c:formatCode>
                <c:ptCount val="4"/>
                <c:pt idx="0">
                  <c:v>3.1179245283018902</c:v>
                </c:pt>
                <c:pt idx="1">
                  <c:v>3.1213872832369942</c:v>
                </c:pt>
                <c:pt idx="2">
                  <c:v>3.0283018867924527</c:v>
                </c:pt>
                <c:pt idx="3">
                  <c:v>2.9767441860465116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AD-407B-A909-F9095BB5ECBA}"/>
            </c:ext>
          </c:extLst>
        </c:ser>
        <c:ser>
          <c:idx val="1"/>
          <c:order val="1"/>
          <c:tx>
            <c:strRef>
              <c:f>Solutions!$F$42</c:f>
              <c:strCache>
                <c:ptCount val="1"/>
                <c:pt idx="0">
                  <c:v>Avg. TAT for Pre-Booking to Booking stage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1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Solutions!$D$43:$D$46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Solutions!$F$43:$F$46</c:f>
              <c:numCache>
                <c:formatCode>0.00</c:formatCode>
                <c:ptCount val="4"/>
                <c:pt idx="0">
                  <c:v>3.0330188679245285</c:v>
                </c:pt>
                <c:pt idx="1">
                  <c:v>3.2023121387283235</c:v>
                </c:pt>
                <c:pt idx="2">
                  <c:v>3.0188679245283021</c:v>
                </c:pt>
                <c:pt idx="3">
                  <c:v>3.0465116279069768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AD-407B-A909-F9095BB5ECBA}"/>
            </c:ext>
          </c:extLst>
        </c:ser>
        <c:ser>
          <c:idx val="2"/>
          <c:order val="2"/>
          <c:tx>
            <c:strRef>
              <c:f>Solutions!$G$42</c:f>
              <c:strCache>
                <c:ptCount val="1"/>
                <c:pt idx="0">
                  <c:v>Avg. TAT for Booking to Delivery stage</c:v>
                </c:pt>
              </c:strCache>
            </c:strRef>
          </c:tx>
          <c:spPr>
            <a:ln w="28575" cap="rnd">
              <a:solidFill>
                <a:schemeClr val="accent6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shade val="65000"/>
                </a:schemeClr>
              </a:solidFill>
              <a:ln w="9525">
                <a:solidFill>
                  <a:schemeClr val="accent6">
                    <a:shade val="6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1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Solutions!$D$43:$D$46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Solutions!$G$43:$G$46</c:f>
              <c:numCache>
                <c:formatCode>0.00</c:formatCode>
                <c:ptCount val="4"/>
                <c:pt idx="0">
                  <c:v>4.5141509433962268</c:v>
                </c:pt>
                <c:pt idx="1">
                  <c:v>4.3872832369942198</c:v>
                </c:pt>
                <c:pt idx="2">
                  <c:v>4.283018867924528</c:v>
                </c:pt>
                <c:pt idx="3">
                  <c:v>4.6279069767441863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AD-407B-A909-F9095BB5ECB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58503855"/>
        <c:axId val="1758504335"/>
      </c:lineChart>
      <c:catAx>
        <c:axId val="17585038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504335"/>
        <c:crosses val="autoZero"/>
        <c:auto val="1"/>
        <c:lblAlgn val="ctr"/>
        <c:lblOffset val="100"/>
        <c:noMultiLvlLbl val="0"/>
      </c:catAx>
      <c:valAx>
        <c:axId val="1758504335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1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 i="1">
                    <a:solidFill>
                      <a:schemeClr val="tx2"/>
                    </a:solidFill>
                  </a:rPr>
                  <a:t>Avg.</a:t>
                </a:r>
                <a:r>
                  <a:rPr lang="en-IN" b="1" i="1" baseline="0">
                    <a:solidFill>
                      <a:schemeClr val="tx2"/>
                    </a:solidFill>
                  </a:rPr>
                  <a:t> TAT Performance </a:t>
                </a:r>
                <a:endParaRPr lang="en-IN" b="1" i="1">
                  <a:solidFill>
                    <a:schemeClr val="tx2"/>
                  </a:solidFill>
                </a:endParaRPr>
              </a:p>
            </c:rich>
          </c:tx>
          <c:layout>
            <c:manualLayout>
              <c:xMode val="edge"/>
              <c:yMode val="edge"/>
              <c:x val="5.0890585241730277E-2"/>
              <c:y val="0.158069257471848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1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out"/>
        <c:minorTickMark val="none"/>
        <c:tickLblPos val="nextTo"/>
        <c:crossAx val="1758503855"/>
        <c:crosses val="autoZero"/>
        <c:crossBetween val="between"/>
      </c:valAx>
      <c:spPr>
        <a:solidFill>
          <a:schemeClr val="bg1"/>
        </a:solidFill>
        <a:ln w="25400">
          <a:noFill/>
        </a:ln>
        <a:effectLst/>
      </c:spPr>
    </c:plotArea>
    <c:legend>
      <c:legendPos val="b"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1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1" u="none" strike="noStrike" baseline="0">
                <a:solidFill>
                  <a:srgbClr val="FF0000"/>
                </a:solidFill>
              </a:rPr>
              <a:t>Cancellation Trends and Reasons</a:t>
            </a:r>
            <a:endParaRPr lang="en-US" b="1" i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80763888888889"/>
          <c:y val="0.11217391304347826"/>
          <c:w val="0.87614375"/>
          <c:h val="0.681215174190182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Dashboard!$O$28</c:f>
              <c:strCache>
                <c:ptCount val="1"/>
                <c:pt idx="0">
                  <c:v>Total Number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6DD-4BDB-A659-416189B0A72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6DD-4BDB-A659-416189B0A72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6DD-4BDB-A659-416189B0A72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6DD-4BDB-A659-416189B0A7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Dashboard!$M$29:$N$34</c:f>
              <c:multiLvlStrCache>
                <c:ptCount val="6"/>
                <c:lvl>
                  <c:pt idx="0">
                    <c:v>Changed Mind</c:v>
                  </c:pt>
                  <c:pt idx="1">
                    <c:v>Financing issue</c:v>
                  </c:pt>
                  <c:pt idx="2">
                    <c:v>Model Unavailable</c:v>
                  </c:pt>
                  <c:pt idx="3">
                    <c:v>Other</c:v>
                  </c:pt>
                  <c:pt idx="4">
                    <c:v>Price</c:v>
                  </c:pt>
                  <c:pt idx="5">
                    <c:v>Total</c:v>
                  </c:pt>
                </c:lvl>
                <c:lvl>
                  <c:pt idx="0">
                    <c:v>Bangalore MBC</c:v>
                  </c:pt>
                </c:lvl>
              </c:multiLvlStrCache>
            </c:multiLvlStrRef>
          </c:cat>
          <c:val>
            <c:numRef>
              <c:f>Dashboard!$O$29:$O$33</c:f>
              <c:numCache>
                <c:formatCode>General</c:formatCode>
                <c:ptCount val="5"/>
                <c:pt idx="0">
                  <c:v>13</c:v>
                </c:pt>
                <c:pt idx="1">
                  <c:v>14</c:v>
                </c:pt>
                <c:pt idx="2">
                  <c:v>13</c:v>
                </c:pt>
                <c:pt idx="3">
                  <c:v>22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DD-4BDB-A659-416189B0A7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86679919"/>
        <c:axId val="1686680399"/>
      </c:barChart>
      <c:catAx>
        <c:axId val="168667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680399"/>
        <c:crosses val="autoZero"/>
        <c:auto val="1"/>
        <c:lblAlgn val="ctr"/>
        <c:lblOffset val="100"/>
        <c:noMultiLvlLbl val="0"/>
      </c:catAx>
      <c:valAx>
        <c:axId val="1686680399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1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0" i="1">
                    <a:solidFill>
                      <a:schemeClr val="tx2"/>
                    </a:solidFill>
                  </a:rPr>
                  <a:t>Number</a:t>
                </a:r>
                <a:r>
                  <a:rPr lang="en-IN" b="0" i="1" baseline="0">
                    <a:solidFill>
                      <a:schemeClr val="tx2"/>
                    </a:solidFill>
                  </a:rPr>
                  <a:t> of Cancellation</a:t>
                </a:r>
                <a:endParaRPr lang="en-IN" b="0" i="1">
                  <a:solidFill>
                    <a:schemeClr val="tx2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1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crossAx val="168667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>
                <a:solidFill>
                  <a:srgbClr val="FF0000"/>
                </a:solidFill>
              </a:rPr>
              <a:t>Distribution of Leads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55D-4C6E-ADC7-6E08E1B34BAC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55D-4C6E-ADC7-6E08E1B34BAC}"/>
              </c:ext>
            </c:extLst>
          </c:dPt>
          <c:dPt>
            <c:idx val="2"/>
            <c:bubble3D val="0"/>
            <c:spPr>
              <a:solidFill>
                <a:schemeClr val="accent6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55D-4C6E-ADC7-6E08E1B34BAC}"/>
              </c:ext>
            </c:extLst>
          </c:dPt>
          <c:cat>
            <c:strRef>
              <c:f>Dashboard!$N$51:$N$53</c:f>
              <c:strCache>
                <c:ptCount val="3"/>
                <c:pt idx="0">
                  <c:v>Hot</c:v>
                </c:pt>
                <c:pt idx="1">
                  <c:v>Cold</c:v>
                </c:pt>
                <c:pt idx="2">
                  <c:v>Warm</c:v>
                </c:pt>
              </c:strCache>
            </c:strRef>
          </c:cat>
          <c:val>
            <c:numRef>
              <c:f>Dashboard!$O$51:$O$53</c:f>
              <c:numCache>
                <c:formatCode>General</c:formatCode>
                <c:ptCount val="3"/>
                <c:pt idx="0">
                  <c:v>83</c:v>
                </c:pt>
                <c:pt idx="1">
                  <c:v>47</c:v>
                </c:pt>
                <c:pt idx="2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90-4509-A840-4E14A9348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228906250000003"/>
          <c:y val="0.88589791666666662"/>
          <c:w val="0.44408506944444442"/>
          <c:h val="8.76437500000000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1" u="none" strike="noStrike" baseline="0">
                <a:solidFill>
                  <a:srgbClr val="FF0000"/>
                </a:solidFill>
              </a:rPr>
              <a:t>Customer Ratings Distribution</a:t>
            </a:r>
            <a:endParaRPr lang="en-IN" b="1" i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33589501312335962"/>
          <c:y val="0.21078521434820643"/>
          <c:w val="0.34487685914260718"/>
          <c:h val="0.5747947652376785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6F-41B6-8C40-983C64597D4C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16F-41B6-8C40-983C64597D4C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6F-41B6-8C40-983C64597D4C}"/>
              </c:ext>
            </c:extLst>
          </c:dPt>
          <c:dLbls>
            <c:dLbl>
              <c:idx val="0"/>
              <c:layout>
                <c:manualLayout>
                  <c:x val="1.1111111111111112E-2"/>
                  <c:y val="-6.944444444444444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6F-41B6-8C40-983C64597D4C}"/>
                </c:ext>
              </c:extLst>
            </c:dLbl>
            <c:dLbl>
              <c:idx val="1"/>
              <c:layout>
                <c:manualLayout>
                  <c:x val="0.05"/>
                  <c:y val="-9.2592592592592587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F-41B6-8C40-983C64597D4C}"/>
                </c:ext>
              </c:extLst>
            </c:dLbl>
            <c:dLbl>
              <c:idx val="2"/>
              <c:layout>
                <c:manualLayout>
                  <c:x val="-4.4444444444444446E-2"/>
                  <c:y val="4.166666666666666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F-41B6-8C40-983C64597D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Dashboard!$N$89:$N$91</c:f>
              <c:strCache>
                <c:ptCount val="3"/>
                <c:pt idx="0">
                  <c:v>Promoters</c:v>
                </c:pt>
                <c:pt idx="1">
                  <c:v>Passives</c:v>
                </c:pt>
                <c:pt idx="2">
                  <c:v>Detractors</c:v>
                </c:pt>
              </c:strCache>
            </c:strRef>
          </c:cat>
          <c:val>
            <c:numRef>
              <c:f>Dashboard!$O$89:$O$91</c:f>
              <c:numCache>
                <c:formatCode>General</c:formatCode>
                <c:ptCount val="3"/>
                <c:pt idx="0">
                  <c:v>30</c:v>
                </c:pt>
                <c:pt idx="1">
                  <c:v>33</c:v>
                </c:pt>
                <c:pt idx="2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6F-41B6-8C40-983C64597D4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00434027777765"/>
          <c:y val="0.34006944444444442"/>
          <c:w val="0.19533246527777778"/>
          <c:h val="0.408452083333333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1" u="none" strike="noStrike" baseline="0">
                <a:solidFill>
                  <a:srgbClr val="FF0000"/>
                </a:solidFill>
              </a:rPr>
              <a:t>Customer Rating Distribution</a:t>
            </a:r>
            <a:endParaRPr lang="en-IN" b="1" i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4D-44ED-9C5C-A95D48DA588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94D-44ED-9C5C-A95D48DA588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94D-44ED-9C5C-A95D48DA588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4D-44ED-9C5C-A95D48DA588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94D-44ED-9C5C-A95D48DA588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94D-44ED-9C5C-A95D48DA5884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94D-44ED-9C5C-A95D48DA588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94D-44ED-9C5C-A95D48DA5884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294D-44ED-9C5C-A95D48DA588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94D-44ED-9C5C-A95D48DA58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Dashboard!$O$69:$O$79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Dashboard!$P$69:$P$79</c:f>
              <c:numCache>
                <c:formatCode>General</c:formatCode>
                <c:ptCount val="11"/>
                <c:pt idx="0">
                  <c:v>9</c:v>
                </c:pt>
                <c:pt idx="1">
                  <c:v>16</c:v>
                </c:pt>
                <c:pt idx="2">
                  <c:v>13</c:v>
                </c:pt>
                <c:pt idx="3">
                  <c:v>8</c:v>
                </c:pt>
                <c:pt idx="4">
                  <c:v>16</c:v>
                </c:pt>
                <c:pt idx="5">
                  <c:v>6</c:v>
                </c:pt>
                <c:pt idx="6">
                  <c:v>15</c:v>
                </c:pt>
                <c:pt idx="7">
                  <c:v>10</c:v>
                </c:pt>
                <c:pt idx="8">
                  <c:v>12</c:v>
                </c:pt>
                <c:pt idx="9">
                  <c:v>15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D-44ED-9C5C-A95D48DA58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38797551"/>
        <c:axId val="1938794671"/>
      </c:barChart>
      <c:catAx>
        <c:axId val="1938797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1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i="1">
                    <a:solidFill>
                      <a:schemeClr val="tx1"/>
                    </a:solidFill>
                  </a:rPr>
                  <a:t>Customer</a:t>
                </a:r>
                <a:r>
                  <a:rPr lang="en-IN" i="1" baseline="0">
                    <a:solidFill>
                      <a:schemeClr val="tx1"/>
                    </a:solidFill>
                  </a:rPr>
                  <a:t> Rating</a:t>
                </a:r>
                <a:endParaRPr lang="en-IN" i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10228125"/>
              <c:y val="0.893262499999999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1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794671"/>
        <c:crosses val="autoZero"/>
        <c:auto val="1"/>
        <c:lblAlgn val="ctr"/>
        <c:lblOffset val="100"/>
        <c:noMultiLvlLbl val="0"/>
      </c:catAx>
      <c:valAx>
        <c:axId val="1938794671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1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i="1">
                    <a:solidFill>
                      <a:schemeClr val="tx1"/>
                    </a:solidFill>
                  </a:rPr>
                  <a:t>Total count of Customers</a:t>
                </a:r>
              </a:p>
            </c:rich>
          </c:tx>
          <c:layout>
            <c:manualLayout>
              <c:xMode val="edge"/>
              <c:yMode val="edge"/>
              <c:x val="1.3229166666666667E-2"/>
              <c:y val="0.247051041666666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1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938797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_xlchart.v2.1</cx:f>
      </cx:strDim>
      <cx:numDim type="val">
        <cx:f dir="row">_xlchart.v2.2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>
                <a:solidFill>
                  <a:schemeClr val="tx1"/>
                </a:solidFill>
              </a:defRPr>
            </a:pPr>
            <a:r>
              <a:rPr lang="en-IN" sz="1000" b="1" i="1" u="none" strike="noStrike" baseline="0">
                <a:solidFill>
                  <a:schemeClr val="tx1"/>
                </a:solidFill>
                <a:effectLst/>
                <a:latin typeface="Calibri"/>
                <a:ea typeface="Calibri"/>
                <a:cs typeface="Calibri"/>
              </a:rPr>
              <a:t>Lead Conversion Funnel - Bangalore MNC </a:t>
            </a:r>
            <a:endParaRPr lang="en-US" sz="1000" b="0" i="0" u="none" strike="noStrike" baseline="0">
              <a:solidFill>
                <a:schemeClr val="tx1"/>
              </a:solidFill>
              <a:latin typeface="Calibri"/>
              <a:ea typeface="Calibri"/>
              <a:cs typeface="Calibri"/>
            </a:endParaRPr>
          </a:p>
        </cx:rich>
      </cx:tx>
    </cx:title>
    <cx:plotArea>
      <cx:plotAreaRegion>
        <cx:series layoutId="funnel" uniqueId="{5F7128EF-C202-403D-8FDD-20A66336012D}">
          <cx:tx>
            <cx:txData>
              <cx:f>_xlchart.v2.0</cx:f>
              <cx:v>Bangalore MBC</cx:v>
            </cx:txData>
          </cx:tx>
          <cx:dataPt idx="0">
            <cx:spPr>
              <a:solidFill>
                <a:srgbClr val="F79646">
                  <a:lumMod val="75000"/>
                </a:srgbClr>
              </a:solidFill>
            </cx:spPr>
          </cx:dataPt>
          <cx:dataPt idx="1">
            <cx:spPr>
              <a:solidFill>
                <a:srgbClr val="F79646">
                  <a:lumMod val="60000"/>
                  <a:lumOff val="40000"/>
                </a:srgbClr>
              </a:solidFill>
            </cx:spPr>
          </cx:dataPt>
          <cx:dataPt idx="2">
            <cx:spPr>
              <a:solidFill>
                <a:srgbClr val="F79646">
                  <a:lumMod val="40000"/>
                  <a:lumOff val="60000"/>
                </a:srgbClr>
              </a:solidFill>
            </cx:spPr>
          </cx:dataPt>
          <cx:dataPt idx="3">
            <cx:spPr>
              <a:solidFill>
                <a:srgbClr val="F79646">
                  <a:lumMod val="20000"/>
                  <a:lumOff val="80000"/>
                </a:srgbClr>
              </a:solidFill>
            </cx:spPr>
          </cx:dataPt>
          <cx:dataLabels>
            <cx:visibility seriesName="0" categoryName="0" value="1"/>
          </cx:dataLabels>
          <cx:dataId val="0"/>
        </cx:series>
      </cx:plotAreaRegion>
      <cx:axis id="0">
        <cx:catScaling gapWidth="0.150000006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Calibri"/>
              <a:ea typeface="Calibri"/>
              <a:cs typeface="Calibri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_xlchart.v2.10</cx:f>
      </cx:strDim>
      <cx:numDim type="val">
        <cx:f dir="row">_xlchart.v2.11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>
              <a:defRPr>
                <a:solidFill>
                  <a:schemeClr val="tx1"/>
                </a:solidFill>
                <a:latin typeface="+mj-lt"/>
              </a:defRPr>
            </a:pPr>
            <a:r>
              <a:rPr lang="en-IN" sz="1000" b="1" i="1" baseline="0">
                <a:solidFill>
                  <a:schemeClr val="tx1"/>
                </a:solidFill>
                <a:effectLst/>
                <a:latin typeface="+mj-lt"/>
              </a:rPr>
              <a:t>Lead Conversion Funnel - Chennai MNC </a:t>
            </a:r>
            <a:endParaRPr lang="en-IN" sz="1000">
              <a:solidFill>
                <a:schemeClr val="tx1"/>
              </a:solidFill>
              <a:effectLst/>
              <a:latin typeface="+mj-lt"/>
            </a:endParaRPr>
          </a:p>
        </cx:rich>
      </cx:tx>
    </cx:title>
    <cx:plotArea>
      <cx:plotAreaRegion>
        <cx:series layoutId="funnel" uniqueId="{0663EB2E-F0AB-41AE-B727-E931E2134AE1}">
          <cx:tx>
            <cx:txData>
              <cx:f>_xlchart.v2.9</cx:f>
              <cx:v>Chennai MBC</cx:v>
            </cx:txData>
          </cx:tx>
          <cx:dataPt idx="0">
            <cx:spPr>
              <a:solidFill>
                <a:srgbClr val="F79646">
                  <a:lumMod val="75000"/>
                </a:srgbClr>
              </a:solidFill>
            </cx:spPr>
          </cx:dataPt>
          <cx:dataPt idx="1">
            <cx:spPr>
              <a:solidFill>
                <a:srgbClr val="F79646">
                  <a:lumMod val="60000"/>
                  <a:lumOff val="40000"/>
                </a:srgbClr>
              </a:solidFill>
            </cx:spPr>
          </cx:dataPt>
          <cx:dataPt idx="2">
            <cx:spPr>
              <a:solidFill>
                <a:srgbClr val="F79646">
                  <a:lumMod val="40000"/>
                  <a:lumOff val="60000"/>
                </a:srgbClr>
              </a:solidFill>
            </cx:spPr>
          </cx:dataPt>
          <cx:dataPt idx="3">
            <cx:spPr>
              <a:solidFill>
                <a:srgbClr val="F79646">
                  <a:lumMod val="20000"/>
                  <a:lumOff val="80000"/>
                </a:srgbClr>
              </a:solidFill>
            </cx:spPr>
          </cx:dataPt>
          <cx:dataLabels>
            <cx:visibility seriesName="0" categoryName="0" value="1"/>
          </cx:dataLabels>
          <cx:dataId val="0"/>
        </cx:series>
      </cx:plotAreaRegion>
      <cx:axis id="0">
        <cx:catScaling gapWidth="0.150000006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Calibri"/>
              <a:ea typeface="Calibri"/>
              <a:cs typeface="Calibri"/>
            </a:endParaRPr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_xlchart.v2.7</cx:f>
      </cx:strDim>
      <cx:numDim type="val">
        <cx:f dir="row">_xlchart.v2.8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IN" sz="1000" b="1" i="1" baseline="0">
                <a:effectLst/>
                <a:latin typeface="+mj-lt"/>
              </a:rPr>
              <a:t>Lead Conversion Funnel - Delhi MNC </a:t>
            </a:r>
            <a:endParaRPr lang="en-IN" sz="1000">
              <a:effectLst/>
              <a:latin typeface="+mj-lt"/>
            </a:endParaRPr>
          </a:p>
        </cx:rich>
      </cx:tx>
    </cx:title>
    <cx:plotArea>
      <cx:plotAreaRegion>
        <cx:series layoutId="funnel" uniqueId="{6CA11F48-6E6B-4388-AD33-38689472037B}">
          <cx:tx>
            <cx:txData>
              <cx:f>_xlchart.v2.6</cx:f>
              <cx:v>Delhi MBC</cx:v>
            </cx:txData>
          </cx:tx>
          <cx:dataPt idx="0">
            <cx:spPr>
              <a:solidFill>
                <a:srgbClr val="F79646">
                  <a:lumMod val="75000"/>
                </a:srgbClr>
              </a:solidFill>
            </cx:spPr>
          </cx:dataPt>
          <cx:dataPt idx="1">
            <cx:spPr>
              <a:solidFill>
                <a:srgbClr val="F79646">
                  <a:lumMod val="60000"/>
                  <a:lumOff val="40000"/>
                </a:srgbClr>
              </a:solidFill>
            </cx:spPr>
          </cx:dataPt>
          <cx:dataPt idx="2">
            <cx:spPr>
              <a:solidFill>
                <a:srgbClr val="F79646">
                  <a:lumMod val="40000"/>
                  <a:lumOff val="60000"/>
                </a:srgbClr>
              </a:solidFill>
            </cx:spPr>
          </cx:dataPt>
          <cx:dataPt idx="3">
            <cx:spPr>
              <a:solidFill>
                <a:srgbClr val="F79646">
                  <a:lumMod val="20000"/>
                  <a:lumOff val="80000"/>
                </a:srgbClr>
              </a:solidFill>
            </cx:spPr>
          </cx:dataPt>
          <cx:dataLabels>
            <cx:visibility seriesName="0" categoryName="0" value="1"/>
          </cx:dataLabels>
          <cx:dataId val="0"/>
        </cx:series>
      </cx:plotAreaRegion>
      <cx:axis id="0">
        <cx:catScaling gapWidth="0.150000006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_xlchart.v2.12</cx:f>
      </cx:strDim>
      <cx:numDim type="val">
        <cx:f>_xlchart.v2.14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>
                <a:solidFill>
                  <a:schemeClr val="tx1"/>
                </a:solidFill>
              </a:defRPr>
            </a:pPr>
            <a:r>
              <a:rPr lang="en-IN" sz="1200" b="1" i="1">
                <a:solidFill>
                  <a:schemeClr val="tx1"/>
                </a:solidFill>
              </a:rPr>
              <a:t>Lead Conversion Funnel – Store-wise Performance</a:t>
            </a:r>
            <a:endParaRPr lang="en-US" sz="1200" b="1" i="1" u="none" strike="noStrike" baseline="0">
              <a:solidFill>
                <a:schemeClr val="tx1"/>
              </a:solidFill>
              <a:latin typeface="Calibri"/>
              <a:ea typeface="Calibri"/>
              <a:cs typeface="Calibri"/>
            </a:endParaRPr>
          </a:p>
        </cx:rich>
      </cx:tx>
    </cx:title>
    <cx:plotArea>
      <cx:plotAreaRegion>
        <cx:series layoutId="funnel" uniqueId="{9FC8B6C1-06DF-4B72-BAC7-60D7109C055B}">
          <cx:tx>
            <cx:txData>
              <cx:f>_xlchart.v2.13</cx:f>
              <cx:v>Conversion from Lead Date to Delivery </cx:v>
            </cx:txData>
          </cx:tx>
          <cx:spPr>
            <a:ln>
              <a:solidFill>
                <a:schemeClr val="bg1"/>
              </a:solidFill>
            </a:ln>
          </cx:spPr>
          <cx:dataPt idx="0">
            <cx:spPr>
              <a:solidFill>
                <a:srgbClr val="F79646">
                  <a:lumMod val="60000"/>
                  <a:lumOff val="40000"/>
                </a:srgbClr>
              </a:solidFill>
            </cx:spPr>
          </cx:dataPt>
          <cx:dataPt idx="1">
            <cx:spPr>
              <a:solidFill>
                <a:srgbClr val="F79646">
                  <a:lumMod val="75000"/>
                </a:srgbClr>
              </a:solidFill>
            </cx:spPr>
          </cx:dataPt>
          <cx:dataPt idx="2">
            <cx:spPr>
              <a:solidFill>
                <a:srgbClr val="F79646">
                  <a:lumMod val="60000"/>
                  <a:lumOff val="40000"/>
                </a:srgbClr>
              </a:solidFill>
            </cx:spPr>
          </cx:dataPt>
          <cx:dataPt idx="3">
            <cx:spPr>
              <a:solidFill>
                <a:srgbClr val="F79646">
                  <a:lumMod val="75000"/>
                </a:srgbClr>
              </a:solidFill>
            </cx:spPr>
          </cx:dataPt>
          <cx:dataLabels>
            <cx:visibility seriesName="0" categoryName="0" value="1"/>
          </cx:dataLabels>
          <cx:dataId val="0"/>
        </cx:series>
      </cx:plotAreaRegion>
      <cx:axis id="0">
        <cx:catScaling gapWidth="0.150000006"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_xlchart.v2.4</cx:f>
      </cx:strDim>
      <cx:numDim type="val">
        <cx:f dir="row">_xlchart.v2.5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IN" sz="1000" b="1" i="1" baseline="0">
                <a:effectLst/>
                <a:latin typeface="+mj-lt"/>
              </a:rPr>
              <a:t>Lead Conversion Funnel - Delhi MNC </a:t>
            </a:r>
            <a:endParaRPr lang="en-IN" sz="1000">
              <a:effectLst/>
              <a:latin typeface="+mj-lt"/>
            </a:endParaRPr>
          </a:p>
        </cx:rich>
      </cx:tx>
    </cx:title>
    <cx:plotArea>
      <cx:plotAreaRegion>
        <cx:series layoutId="funnel" uniqueId="{9E8E14A2-B917-4CDC-A1B0-CCD8ABC64853}">
          <cx:tx>
            <cx:txData>
              <cx:f>_xlchart.v2.3</cx:f>
              <cx:v>Mumbai MBC</cx:v>
            </cx:txData>
          </cx:tx>
          <cx:dataPt idx="0">
            <cx:spPr>
              <a:solidFill>
                <a:srgbClr val="F79646">
                  <a:lumMod val="75000"/>
                </a:srgbClr>
              </a:solidFill>
            </cx:spPr>
          </cx:dataPt>
          <cx:dataPt idx="1">
            <cx:spPr>
              <a:solidFill>
                <a:srgbClr val="F79646">
                  <a:lumMod val="60000"/>
                  <a:lumOff val="40000"/>
                </a:srgbClr>
              </a:solidFill>
            </cx:spPr>
          </cx:dataPt>
          <cx:dataPt idx="2">
            <cx:spPr>
              <a:solidFill>
                <a:srgbClr val="F79646">
                  <a:lumMod val="40000"/>
                  <a:lumOff val="60000"/>
                </a:srgbClr>
              </a:solidFill>
            </cx:spPr>
          </cx:dataPt>
          <cx:dataPt idx="3">
            <cx:spPr>
              <a:solidFill>
                <a:srgbClr val="F79646">
                  <a:lumMod val="20000"/>
                  <a:lumOff val="80000"/>
                </a:srgbClr>
              </a:solidFill>
            </cx:spPr>
          </cx:dataPt>
          <cx:dataLabels>
            <cx:visibility seriesName="0" categoryName="0" value="1"/>
          </cx:dataLabels>
          <cx:dataId val="0"/>
        </cx:series>
      </cx:plotAreaRegion>
      <cx:axis id="0">
        <cx:catScaling gapWidth="0.150000006"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_xlchart.v2.15</cx:f>
      </cx:strDim>
      <cx:numDim type="val">
        <cx:f>_xlchart.v2.17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 b="1" i="1">
                <a:solidFill>
                  <a:srgbClr val="FF0000"/>
                </a:solidFill>
              </a:rPr>
              <a:t>Lead Conversion Funnel – Store-wise Performance</a:t>
            </a:r>
            <a:endParaRPr lang="en-US" sz="1400" b="1" i="1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endParaRPr>
          </a:p>
        </cx:rich>
      </cx:tx>
    </cx:title>
    <cx:plotArea>
      <cx:plotAreaRegion>
        <cx:series layoutId="funnel" uniqueId="{9FC8B6C1-06DF-4B72-BAC7-60D7109C055B}">
          <cx:tx>
            <cx:txData>
              <cx:f>_xlchart.v2.16</cx:f>
              <cx:v>Conversion from Lead Date to Delivery </cx:v>
            </cx:txData>
          </cx:tx>
          <cx:spPr>
            <a:ln>
              <a:solidFill>
                <a:schemeClr val="bg1"/>
              </a:solidFill>
            </a:ln>
          </cx:spPr>
          <cx:dataPt idx="0">
            <cx:spPr>
              <a:solidFill>
                <a:srgbClr val="F79646">
                  <a:lumMod val="40000"/>
                  <a:lumOff val="60000"/>
                </a:srgbClr>
              </a:solidFill>
            </cx:spPr>
          </cx:dataPt>
          <cx:dataPt idx="1">
            <cx:spPr>
              <a:solidFill>
                <a:srgbClr val="F79646">
                  <a:lumMod val="60000"/>
                  <a:lumOff val="40000"/>
                </a:srgbClr>
              </a:solidFill>
            </cx:spPr>
          </cx:dataPt>
          <cx:dataPt idx="2">
            <cx:spPr>
              <a:solidFill>
                <a:srgbClr val="F79646"/>
              </a:solidFill>
            </cx:spPr>
          </cx:dataPt>
          <cx:dataPt idx="3">
            <cx:spPr>
              <a:solidFill>
                <a:srgbClr val="F79646">
                  <a:lumMod val="75000"/>
                </a:srgbClr>
              </a:solidFill>
            </cx:spPr>
          </cx:dataPt>
          <cx:dataLabels>
            <cx:visibility seriesName="0" categoryName="0" value="1"/>
          </cx:dataLabels>
          <cx:dataId val="0"/>
        </cx:series>
      </cx:plotAreaRegion>
      <cx:axis id="0">
        <cx:catScaling gapWidth="0.100000001"/>
        <cx:title>
          <cx:tx>
            <cx:txData>
              <cx:v>Store Name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chemeClr val="tx2"/>
                  </a:solidFill>
                </a:defRPr>
              </a:pPr>
              <a:r>
                <a:rPr lang="en-US" sz="1200" b="1" i="1" u="none" strike="noStrike" baseline="0">
                  <a:solidFill>
                    <a:schemeClr val="tx2"/>
                  </a:solidFill>
                  <a:latin typeface="Calibri"/>
                  <a:ea typeface="Calibri"/>
                  <a:cs typeface="Calibri"/>
                </a:rPr>
                <a:t>Store Name</a:t>
              </a:r>
            </a:p>
          </cx:txPr>
        </cx:title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5.xml"/><Relationship Id="rId3" Type="http://schemas.microsoft.com/office/2014/relationships/chartEx" Target="../charts/chartEx3.xml"/><Relationship Id="rId7" Type="http://schemas.openxmlformats.org/officeDocument/2006/relationships/chart" Target="../charts/chart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10" Type="http://schemas.openxmlformats.org/officeDocument/2006/relationships/chart" Target="../charts/chart5.xml"/><Relationship Id="rId4" Type="http://schemas.microsoft.com/office/2014/relationships/chartEx" Target="../charts/chartEx4.xml"/><Relationship Id="rId9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microsoft.com/office/2014/relationships/chartEx" Target="../charts/chartEx6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82924</xdr:colOff>
      <xdr:row>0</xdr:row>
      <xdr:rowOff>53788</xdr:rowOff>
    </xdr:from>
    <xdr:to>
      <xdr:col>5</xdr:col>
      <xdr:colOff>454924</xdr:colOff>
      <xdr:row>13</xdr:row>
      <xdr:rowOff>62964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4B95ECD-41CC-4F46-BADD-B54B03A002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924" y="53788"/>
              <a:ext cx="3420000" cy="23866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500230</xdr:colOff>
      <xdr:row>0</xdr:row>
      <xdr:rowOff>52443</xdr:rowOff>
    </xdr:from>
    <xdr:to>
      <xdr:col>11</xdr:col>
      <xdr:colOff>26894</xdr:colOff>
      <xdr:row>13</xdr:row>
      <xdr:rowOff>44823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92196CC-2C23-42D8-87A5-44EF189FEF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48230" y="52443"/>
              <a:ext cx="3732904" cy="2369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85167</xdr:colOff>
      <xdr:row>0</xdr:row>
      <xdr:rowOff>48410</xdr:rowOff>
    </xdr:from>
    <xdr:to>
      <xdr:col>16</xdr:col>
      <xdr:colOff>457167</xdr:colOff>
      <xdr:row>13</xdr:row>
      <xdr:rowOff>57586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CB4F6E05-3D58-47FB-A74C-A32B924838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39407" y="48410"/>
              <a:ext cx="3420000" cy="23866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75750</xdr:colOff>
      <xdr:row>13</xdr:row>
      <xdr:rowOff>148365</xdr:rowOff>
    </xdr:from>
    <xdr:to>
      <xdr:col>5</xdr:col>
      <xdr:colOff>447750</xdr:colOff>
      <xdr:row>30</xdr:row>
      <xdr:rowOff>152399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84BE8367-3E41-4B58-A942-430B63F201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750" y="2525805"/>
              <a:ext cx="3420000" cy="32958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493060</xdr:colOff>
      <xdr:row>13</xdr:row>
      <xdr:rowOff>152400</xdr:rowOff>
    </xdr:from>
    <xdr:to>
      <xdr:col>13</xdr:col>
      <xdr:colOff>251012</xdr:colOff>
      <xdr:row>30</xdr:row>
      <xdr:rowOff>161364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221995B-DEBF-421A-838B-8386ADAC1E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13</xdr:col>
      <xdr:colOff>340657</xdr:colOff>
      <xdr:row>13</xdr:row>
      <xdr:rowOff>143435</xdr:rowOff>
    </xdr:from>
    <xdr:to>
      <xdr:col>20</xdr:col>
      <xdr:colOff>412376</xdr:colOff>
      <xdr:row>30</xdr:row>
      <xdr:rowOff>143435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2379E1E-4239-47BA-A5CD-DE6C459D0F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71718</xdr:colOff>
      <xdr:row>31</xdr:row>
      <xdr:rowOff>44825</xdr:rowOff>
    </xdr:from>
    <xdr:to>
      <xdr:col>5</xdr:col>
      <xdr:colOff>443718</xdr:colOff>
      <xdr:row>43</xdr:row>
      <xdr:rowOff>170542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4BC5312-9E14-42B9-A435-E5FF8A75F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511436</xdr:colOff>
      <xdr:row>0</xdr:row>
      <xdr:rowOff>48408</xdr:rowOff>
    </xdr:from>
    <xdr:to>
      <xdr:col>21</xdr:col>
      <xdr:colOff>1004048</xdr:colOff>
      <xdr:row>13</xdr:row>
      <xdr:rowOff>80681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C346CBA9-AB7F-4A54-A5D7-48BC2A0AE3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13676" y="48408"/>
              <a:ext cx="3715872" cy="24097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107577</xdr:colOff>
      <xdr:row>31</xdr:row>
      <xdr:rowOff>44824</xdr:rowOff>
    </xdr:from>
    <xdr:to>
      <xdr:col>15</xdr:col>
      <xdr:colOff>479577</xdr:colOff>
      <xdr:row>43</xdr:row>
      <xdr:rowOff>170541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5B659F1-53A1-4537-9663-1D2187B9F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67236</xdr:colOff>
      <xdr:row>44</xdr:row>
      <xdr:rowOff>62752</xdr:rowOff>
    </xdr:from>
    <xdr:to>
      <xdr:col>7</xdr:col>
      <xdr:colOff>4483</xdr:colOff>
      <xdr:row>56</xdr:row>
      <xdr:rowOff>98611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687FD6-2D52-7EA4-7340-F1A4E4C84F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2</xdr:row>
      <xdr:rowOff>0</xdr:rowOff>
    </xdr:from>
    <xdr:to>
      <xdr:col>10</xdr:col>
      <xdr:colOff>608880</xdr:colOff>
      <xdr:row>20</xdr:row>
      <xdr:rowOff>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2836E1A-F288-4CD0-901D-BDCA73D719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7220" y="365760"/>
              <a:ext cx="6087660" cy="3291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7620</xdr:colOff>
      <xdr:row>1</xdr:row>
      <xdr:rowOff>175260</xdr:rowOff>
    </xdr:from>
    <xdr:to>
      <xdr:col>17</xdr:col>
      <xdr:colOff>0</xdr:colOff>
      <xdr:row>19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743669-66E7-4D75-B280-421FB549FB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601980</xdr:colOff>
      <xdr:row>24</xdr:row>
      <xdr:rowOff>171450</xdr:rowOff>
    </xdr:from>
    <xdr:to>
      <xdr:col>10</xdr:col>
      <xdr:colOff>608880</xdr:colOff>
      <xdr:row>42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EB513C-ADD0-B260-E874-8C086AFC8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7620</xdr:colOff>
      <xdr:row>46</xdr:row>
      <xdr:rowOff>7620</xdr:rowOff>
    </xdr:from>
    <xdr:to>
      <xdr:col>10</xdr:col>
      <xdr:colOff>608880</xdr:colOff>
      <xdr:row>61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D5EE6A6-465C-D4C7-AC87-B996E197DD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85</xdr:row>
      <xdr:rowOff>2172</xdr:rowOff>
    </xdr:from>
    <xdr:to>
      <xdr:col>10</xdr:col>
      <xdr:colOff>600908</xdr:colOff>
      <xdr:row>100</xdr:row>
      <xdr:rowOff>167640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671F40F-BE65-42E1-6878-81F26697F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7620</xdr:colOff>
      <xdr:row>64</xdr:row>
      <xdr:rowOff>180852</xdr:rowOff>
    </xdr:from>
    <xdr:to>
      <xdr:col>11</xdr:col>
      <xdr:colOff>1736</xdr:colOff>
      <xdr:row>81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8EBE296-8491-6316-4944-46208838D8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58.73077534722" createdVersion="8" refreshedVersion="8" minRefreshableVersion="3" recordCount="1000" xr:uid="{B9A517B4-2971-4D4F-B5E1-C90C077403E1}">
  <cacheSource type="worksheet">
    <worksheetSource ref="A1:O1001" sheet="Sheet1"/>
  </cacheSource>
  <cacheFields count="20">
    <cacheField name="Lead ID" numFmtId="0">
      <sharedItems/>
    </cacheField>
    <cacheField name="Store Name" numFmtId="0">
      <sharedItems count="4">
        <s v="Bangalore MBC"/>
        <s v="Delhi MBC"/>
        <s v="Mumbai MBC"/>
        <s v="Chennai MBC"/>
      </sharedItems>
    </cacheField>
    <cacheField name="Lead Type" numFmtId="0">
      <sharedItems count="3">
        <s v="Warm"/>
        <s v="Cold"/>
        <s v="Hot"/>
      </sharedItems>
    </cacheField>
    <cacheField name="Lead Date" numFmtId="164">
      <sharedItems containsSemiMixedTypes="0" containsNonDate="0" containsDate="1" containsString="0" minDate="2025-10-01T00:00:00" maxDate="2025-11-01T00:00:00" count="31">
        <d v="2025-10-21T00:00:00"/>
        <d v="2025-10-11T00:00:00"/>
        <d v="2025-10-01T00:00:00"/>
        <d v="2025-10-28T00:00:00"/>
        <d v="2025-10-14T00:00:00"/>
        <d v="2025-10-27T00:00:00"/>
        <d v="2025-10-16T00:00:00"/>
        <d v="2025-10-04T00:00:00"/>
        <d v="2025-10-31T00:00:00"/>
        <d v="2025-10-12T00:00:00"/>
        <d v="2025-10-29T00:00:00"/>
        <d v="2025-10-15T00:00:00"/>
        <d v="2025-10-23T00:00:00"/>
        <d v="2025-10-05T00:00:00"/>
        <d v="2025-10-06T00:00:00"/>
        <d v="2025-10-24T00:00:00"/>
        <d v="2025-10-17T00:00:00"/>
        <d v="2025-10-09T00:00:00"/>
        <d v="2025-10-20T00:00:00"/>
        <d v="2025-10-26T00:00:00"/>
        <d v="2025-10-30T00:00:00"/>
        <d v="2025-10-18T00:00:00"/>
        <d v="2025-10-25T00:00:00"/>
        <d v="2025-10-19T00:00:00"/>
        <d v="2025-10-08T00:00:00"/>
        <d v="2025-10-03T00:00:00"/>
        <d v="2025-10-22T00:00:00"/>
        <d v="2025-10-13T00:00:00"/>
        <d v="2025-10-07T00:00:00"/>
        <d v="2025-10-10T00:00:00"/>
        <d v="2025-10-02T00:00:00"/>
      </sharedItems>
    </cacheField>
    <cacheField name="Pre-Booking Date" numFmtId="0">
      <sharedItems containsNonDate="0" containsDate="1" containsString="0" containsBlank="1" minDate="2025-10-02T00:00:00" maxDate="2025-11-06T00:00:00" count="36">
        <d v="2025-10-25T00:00:00"/>
        <d v="2025-10-14T00:00:00"/>
        <m/>
        <d v="2025-10-18T00:00:00"/>
        <d v="2025-10-31T00:00:00"/>
        <d v="2025-10-20T00:00:00"/>
        <d v="2025-10-05T00:00:00"/>
        <d v="2025-10-17T00:00:00"/>
        <d v="2025-11-04T00:00:00"/>
        <d v="2025-10-24T00:00:00"/>
        <d v="2025-11-01T00:00:00"/>
        <d v="2025-10-30T00:00:00"/>
        <d v="2025-10-27T00:00:00"/>
        <d v="2025-10-06T00:00:00"/>
        <d v="2025-10-15T00:00:00"/>
        <d v="2025-10-07T00:00:00"/>
        <d v="2025-10-21T00:00:00"/>
        <d v="2025-10-11T00:00:00"/>
        <d v="2025-10-23T00:00:00"/>
        <d v="2025-10-13T00:00:00"/>
        <d v="2025-10-12T00:00:00"/>
        <d v="2025-10-10T00:00:00"/>
        <d v="2025-10-19T00:00:00"/>
        <d v="2025-10-29T00:00:00"/>
        <d v="2025-10-16T00:00:00"/>
        <d v="2025-10-26T00:00:00"/>
        <d v="2025-10-04T00:00:00"/>
        <d v="2025-10-09T00:00:00"/>
        <d v="2025-10-28T00:00:00"/>
        <d v="2025-10-02T00:00:00"/>
        <d v="2025-10-08T00:00:00"/>
        <d v="2025-10-22T00:00:00"/>
        <d v="2025-11-05T00:00:00"/>
        <d v="2025-10-03T00:00:00"/>
        <d v="2025-11-02T00:00:00"/>
        <d v="2025-11-03T00:00:00"/>
      </sharedItems>
      <fieldGroup par="15"/>
    </cacheField>
    <cacheField name="Booking Date" numFmtId="0">
      <sharedItems containsNonDate="0" containsDate="1" containsString="0" containsBlank="1" minDate="2025-10-03T00:00:00" maxDate="2025-11-11T00:00:00" count="40">
        <d v="2025-10-29T00:00:00"/>
        <d v="2025-10-19T00:00:00"/>
        <m/>
        <d v="2025-10-21T00:00:00"/>
        <d v="2025-11-04T00:00:00"/>
        <d v="2025-10-08T00:00:00"/>
        <d v="2025-10-20T00:00:00"/>
        <d v="2025-11-05T00:00:00"/>
        <d v="2025-10-28T00:00:00"/>
        <d v="2025-11-06T00:00:00"/>
        <d v="2025-11-02T00:00:00"/>
        <d v="2025-10-18T00:00:00"/>
        <d v="2025-11-01T00:00:00"/>
        <d v="2025-10-10T00:00:00"/>
        <d v="2025-10-12T00:00:00"/>
        <d v="2025-10-30T00:00:00"/>
        <d v="2025-10-23T00:00:00"/>
        <d v="2025-10-15T00:00:00"/>
        <d v="2025-10-27T00:00:00"/>
        <d v="2025-11-09T00:00:00"/>
        <d v="2025-10-16T00:00:00"/>
        <d v="2025-10-13T00:00:00"/>
        <d v="2025-11-03T00:00:00"/>
        <d v="2025-10-14T00:00:00"/>
        <d v="2025-10-22T00:00:00"/>
        <d v="2025-10-17T00:00:00"/>
        <d v="2025-10-26T00:00:00"/>
        <d v="2025-10-25T00:00:00"/>
        <d v="2025-10-24T00:00:00"/>
        <d v="2025-10-06T00:00:00"/>
        <d v="2025-10-11T00:00:00"/>
        <d v="2025-10-31T00:00:00"/>
        <d v="2025-10-05T00:00:00"/>
        <d v="2025-11-08T00:00:00"/>
        <d v="2025-10-04T00:00:00"/>
        <d v="2025-10-03T00:00:00"/>
        <d v="2025-10-07T00:00:00"/>
        <d v="2025-10-09T00:00:00"/>
        <d v="2025-11-07T00:00:00"/>
        <d v="2025-11-10T00:00:00"/>
      </sharedItems>
      <fieldGroup par="17"/>
    </cacheField>
    <cacheField name="Delivery Date" numFmtId="0">
      <sharedItems containsNonDate="0" containsDate="1" containsString="0" containsBlank="1" minDate="2025-10-06T00:00:00" maxDate="2025-11-18T00:00:00" count="44">
        <d v="2025-11-03T00:00:00"/>
        <d v="2025-10-26T00:00:00"/>
        <m/>
        <d v="2025-10-24T00:00:00"/>
        <d v="2025-11-07T00:00:00"/>
        <d v="2025-10-28T00:00:00"/>
        <d v="2025-10-15T00:00:00"/>
        <d v="2025-10-25T00:00:00"/>
        <d v="2025-11-10T00:00:00"/>
        <d v="2025-10-30T00:00:00"/>
        <d v="2025-11-13T00:00:00"/>
        <d v="2025-11-08T00:00:00"/>
        <d v="2025-10-21T00:00:00"/>
        <d v="2025-11-06T00:00:00"/>
        <d v="2025-10-16T00:00:00"/>
        <d v="2025-10-23T00:00:00"/>
        <d v="2025-10-17T00:00:00"/>
        <d v="2025-11-01T00:00:00"/>
        <d v="2025-11-05T00:00:00"/>
        <d v="2025-10-19T00:00:00"/>
        <d v="2025-11-15T00:00:00"/>
        <d v="2025-10-29T00:00:00"/>
        <d v="2025-10-20T00:00:00"/>
        <d v="2025-11-09T00:00:00"/>
        <d v="2025-10-31T00:00:00"/>
        <d v="2025-10-14T00:00:00"/>
        <d v="2025-11-02T00:00:00"/>
        <d v="2025-10-18T00:00:00"/>
        <d v="2025-10-12T00:00:00"/>
        <d v="2025-10-08T00:00:00"/>
        <d v="2025-10-10T00:00:00"/>
        <d v="2025-10-22T00:00:00"/>
        <d v="2025-10-27T00:00:00"/>
        <d v="2025-11-14T00:00:00"/>
        <d v="2025-11-04T00:00:00"/>
        <d v="2025-10-09T00:00:00"/>
        <d v="2025-11-11T00:00:00"/>
        <d v="2025-10-07T00:00:00"/>
        <d v="2025-10-13T00:00:00"/>
        <d v="2025-11-12T00:00:00"/>
        <d v="2025-11-17T00:00:00"/>
        <d v="2025-10-06T00:00:00"/>
        <d v="2025-10-11T00:00:00"/>
        <d v="2025-11-16T00:00:00"/>
      </sharedItems>
      <fieldGroup par="19"/>
    </cacheField>
    <cacheField name="Cancellation Status" numFmtId="0">
      <sharedItems count="2">
        <s v="No"/>
        <s v="Yes"/>
      </sharedItems>
    </cacheField>
    <cacheField name="Cancellation Reason" numFmtId="0">
      <sharedItems containsBlank="1" count="6">
        <m/>
        <s v="Other"/>
        <s v="Model Unavailable"/>
        <s v="Changed Mind"/>
        <s v="Financing Issue"/>
        <s v="Price"/>
      </sharedItems>
    </cacheField>
    <cacheField name="Service Follow-up Date" numFmtId="0">
      <sharedItems containsNonDate="0" containsDate="1" containsString="0" containsBlank="1" minDate="2025-10-19T00:00:00" maxDate="2025-12-16T00:00:00"/>
    </cacheField>
    <cacheField name="TAT Pre-Booking (Days)" numFmtId="0">
      <sharedItems containsString="0" containsBlank="1" containsNumber="1" containsInteger="1" minValue="1" maxValue="5"/>
    </cacheField>
    <cacheField name="TAT Booking (Days)" numFmtId="0">
      <sharedItems containsString="0" containsBlank="1" containsNumber="1" containsInteger="1" minValue="1" maxValue="5"/>
    </cacheField>
    <cacheField name="TAT Delivery (Days)" numFmtId="0">
      <sharedItems containsString="0" containsBlank="1" containsNumber="1" containsInteger="1" minValue="2" maxValue="7"/>
    </cacheField>
    <cacheField name="Customer Rating" numFmtId="0">
      <sharedItems containsString="0" containsBlank="1" containsNumber="1" containsInteger="1" minValue="0" maxValue="10"/>
    </cacheField>
    <cacheField name="Days (Pre-Booking Date)" numFmtId="0" databaseField="0">
      <fieldGroup base="4">
        <rangePr groupBy="days" startDate="2025-10-02T00:00:00" endDate="2025-11-06T00:00:00"/>
        <groupItems count="368">
          <s v="&lt;02-10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6-11-2025"/>
        </groupItems>
      </fieldGroup>
    </cacheField>
    <cacheField name="Months (Pre-Booking Date)" numFmtId="0" databaseField="0">
      <fieldGroup base="4">
        <rangePr groupBy="months" startDate="2025-10-02T00:00:00" endDate="2025-11-06T00:00:00"/>
        <groupItems count="14">
          <s v="&lt;02-10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-11-2025"/>
        </groupItems>
      </fieldGroup>
    </cacheField>
    <cacheField name="Days (Booking Date)" numFmtId="0" databaseField="0">
      <fieldGroup base="5">
        <rangePr groupBy="days" startDate="2025-10-03T00:00:00" endDate="2025-11-11T00:00:00"/>
        <groupItems count="368">
          <s v="&lt;03-10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-11-2025"/>
        </groupItems>
      </fieldGroup>
    </cacheField>
    <cacheField name="Months (Booking Date)" numFmtId="0" databaseField="0">
      <fieldGroup base="5">
        <rangePr groupBy="months" startDate="2025-10-03T00:00:00" endDate="2025-11-11T00:00:00"/>
        <groupItems count="14">
          <s v="&lt;03-10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11-2025"/>
        </groupItems>
      </fieldGroup>
    </cacheField>
    <cacheField name="Days (Delivery Date)" numFmtId="0" databaseField="0">
      <fieldGroup base="6">
        <rangePr groupBy="days" startDate="2025-10-06T00:00:00" endDate="2025-11-18T00:00:00"/>
        <groupItems count="368">
          <s v="&lt;06-10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8-11-2025"/>
        </groupItems>
      </fieldGroup>
    </cacheField>
    <cacheField name="Months (Delivery Date)" numFmtId="0" databaseField="0">
      <fieldGroup base="6">
        <rangePr groupBy="months" startDate="2025-10-06T00:00:00" endDate="2025-11-18T00:00:00"/>
        <groupItems count="14">
          <s v="&lt;06-10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8-11-2025"/>
        </groupItems>
      </fieldGroup>
    </cacheField>
  </cacheFields>
  <extLst>
    <ext xmlns:x14="http://schemas.microsoft.com/office/spreadsheetml/2009/9/main" uri="{725AE2AE-9491-48be-B2B4-4EB974FC3084}">
      <x14:pivotCacheDefinition pivotCacheId="20405365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L1000"/>
    <x v="0"/>
    <x v="0"/>
    <x v="0"/>
    <x v="0"/>
    <x v="0"/>
    <x v="0"/>
    <x v="0"/>
    <x v="0"/>
    <d v="2025-11-28T00:00:00"/>
    <n v="4"/>
    <n v="4"/>
    <n v="5"/>
    <n v="2"/>
  </r>
  <r>
    <s v="L1001"/>
    <x v="1"/>
    <x v="0"/>
    <x v="1"/>
    <x v="1"/>
    <x v="1"/>
    <x v="1"/>
    <x v="0"/>
    <x v="0"/>
    <d v="2025-11-22T00:00:00"/>
    <n v="3"/>
    <n v="5"/>
    <n v="7"/>
    <n v="8"/>
  </r>
  <r>
    <s v="L1002"/>
    <x v="2"/>
    <x v="1"/>
    <x v="2"/>
    <x v="2"/>
    <x v="2"/>
    <x v="2"/>
    <x v="1"/>
    <x v="1"/>
    <m/>
    <m/>
    <m/>
    <m/>
    <m/>
  </r>
  <r>
    <s v="L1003"/>
    <x v="0"/>
    <x v="1"/>
    <x v="3"/>
    <x v="2"/>
    <x v="2"/>
    <x v="2"/>
    <x v="1"/>
    <x v="2"/>
    <m/>
    <m/>
    <m/>
    <m/>
    <m/>
  </r>
  <r>
    <s v="L1004"/>
    <x v="1"/>
    <x v="0"/>
    <x v="4"/>
    <x v="3"/>
    <x v="3"/>
    <x v="3"/>
    <x v="0"/>
    <x v="0"/>
    <d v="2025-11-12T00:00:00"/>
    <n v="4"/>
    <n v="3"/>
    <n v="3"/>
    <n v="8"/>
  </r>
  <r>
    <s v="L1005"/>
    <x v="1"/>
    <x v="0"/>
    <x v="5"/>
    <x v="4"/>
    <x v="4"/>
    <x v="4"/>
    <x v="0"/>
    <x v="0"/>
    <d v="2025-11-22T00:00:00"/>
    <n v="4"/>
    <n v="4"/>
    <n v="3"/>
    <n v="9"/>
  </r>
  <r>
    <s v="L1006"/>
    <x v="2"/>
    <x v="2"/>
    <x v="6"/>
    <x v="5"/>
    <x v="3"/>
    <x v="5"/>
    <x v="0"/>
    <x v="0"/>
    <d v="2025-11-22T00:00:00"/>
    <n v="4"/>
    <n v="1"/>
    <n v="7"/>
    <n v="10"/>
  </r>
  <r>
    <s v="L1007"/>
    <x v="3"/>
    <x v="0"/>
    <x v="7"/>
    <x v="6"/>
    <x v="5"/>
    <x v="6"/>
    <x v="1"/>
    <x v="3"/>
    <m/>
    <n v="1"/>
    <n v="3"/>
    <n v="7"/>
    <m/>
  </r>
  <r>
    <s v="L1008"/>
    <x v="0"/>
    <x v="2"/>
    <x v="4"/>
    <x v="7"/>
    <x v="6"/>
    <x v="7"/>
    <x v="0"/>
    <x v="0"/>
    <d v="2025-11-05T00:00:00"/>
    <n v="3"/>
    <n v="3"/>
    <n v="5"/>
    <n v="8"/>
  </r>
  <r>
    <s v="L1009"/>
    <x v="2"/>
    <x v="0"/>
    <x v="8"/>
    <x v="8"/>
    <x v="7"/>
    <x v="8"/>
    <x v="0"/>
    <x v="0"/>
    <d v="2025-11-22T00:00:00"/>
    <n v="4"/>
    <n v="1"/>
    <n v="5"/>
    <n v="6"/>
  </r>
  <r>
    <s v="L1010"/>
    <x v="0"/>
    <x v="1"/>
    <x v="9"/>
    <x v="2"/>
    <x v="2"/>
    <x v="2"/>
    <x v="1"/>
    <x v="1"/>
    <m/>
    <m/>
    <m/>
    <m/>
    <m/>
  </r>
  <r>
    <s v="L1011"/>
    <x v="1"/>
    <x v="0"/>
    <x v="0"/>
    <x v="9"/>
    <x v="8"/>
    <x v="9"/>
    <x v="0"/>
    <x v="0"/>
    <d v="2025-11-10T00:00:00"/>
    <n v="3"/>
    <n v="4"/>
    <n v="2"/>
    <n v="0"/>
  </r>
  <r>
    <s v="L1012"/>
    <x v="1"/>
    <x v="0"/>
    <x v="10"/>
    <x v="10"/>
    <x v="9"/>
    <x v="10"/>
    <x v="0"/>
    <x v="0"/>
    <d v="2025-11-30T00:00:00"/>
    <n v="3"/>
    <n v="5"/>
    <n v="7"/>
    <n v="10"/>
  </r>
  <r>
    <s v="L1013"/>
    <x v="3"/>
    <x v="0"/>
    <x v="5"/>
    <x v="11"/>
    <x v="10"/>
    <x v="11"/>
    <x v="0"/>
    <x v="0"/>
    <d v="2025-12-07T00:00:00"/>
    <n v="3"/>
    <n v="3"/>
    <n v="6"/>
    <n v="2"/>
  </r>
  <r>
    <s v="L1014"/>
    <x v="1"/>
    <x v="2"/>
    <x v="11"/>
    <x v="7"/>
    <x v="11"/>
    <x v="12"/>
    <x v="1"/>
    <x v="3"/>
    <m/>
    <n v="2"/>
    <n v="1"/>
    <n v="3"/>
    <m/>
  </r>
  <r>
    <s v="L1015"/>
    <x v="1"/>
    <x v="0"/>
    <x v="12"/>
    <x v="12"/>
    <x v="12"/>
    <x v="13"/>
    <x v="0"/>
    <x v="0"/>
    <d v="2025-11-23T00:00:00"/>
    <n v="4"/>
    <n v="5"/>
    <n v="5"/>
    <n v="8"/>
  </r>
  <r>
    <s v="L1016"/>
    <x v="2"/>
    <x v="2"/>
    <x v="13"/>
    <x v="13"/>
    <x v="13"/>
    <x v="14"/>
    <x v="0"/>
    <x v="0"/>
    <d v="2025-10-26T00:00:00"/>
    <n v="1"/>
    <n v="4"/>
    <n v="6"/>
    <n v="2"/>
  </r>
  <r>
    <s v="L1017"/>
    <x v="0"/>
    <x v="2"/>
    <x v="4"/>
    <x v="14"/>
    <x v="11"/>
    <x v="15"/>
    <x v="0"/>
    <x v="0"/>
    <d v="2025-11-18T00:00:00"/>
    <n v="1"/>
    <n v="3"/>
    <n v="5"/>
    <n v="0"/>
  </r>
  <r>
    <s v="L1018"/>
    <x v="0"/>
    <x v="0"/>
    <x v="14"/>
    <x v="15"/>
    <x v="14"/>
    <x v="16"/>
    <x v="0"/>
    <x v="0"/>
    <d v="2025-11-11T00:00:00"/>
    <n v="1"/>
    <n v="5"/>
    <n v="5"/>
    <n v="5"/>
  </r>
  <r>
    <s v="L1019"/>
    <x v="2"/>
    <x v="0"/>
    <x v="15"/>
    <x v="0"/>
    <x v="15"/>
    <x v="17"/>
    <x v="0"/>
    <x v="0"/>
    <d v="2025-11-11T00:00:00"/>
    <n v="1"/>
    <n v="5"/>
    <n v="2"/>
    <n v="4"/>
  </r>
  <r>
    <s v="L1020"/>
    <x v="3"/>
    <x v="0"/>
    <x v="16"/>
    <x v="16"/>
    <x v="16"/>
    <x v="9"/>
    <x v="0"/>
    <x v="0"/>
    <d v="2025-11-19T00:00:00"/>
    <n v="4"/>
    <n v="2"/>
    <n v="7"/>
    <n v="6"/>
  </r>
  <r>
    <s v="L1021"/>
    <x v="0"/>
    <x v="2"/>
    <x v="8"/>
    <x v="10"/>
    <x v="10"/>
    <x v="18"/>
    <x v="0"/>
    <x v="0"/>
    <d v="2025-12-04T00:00:00"/>
    <n v="1"/>
    <n v="1"/>
    <n v="3"/>
    <n v="3"/>
  </r>
  <r>
    <s v="L1022"/>
    <x v="1"/>
    <x v="0"/>
    <x v="0"/>
    <x v="9"/>
    <x v="0"/>
    <x v="17"/>
    <x v="0"/>
    <x v="0"/>
    <d v="2025-11-17T00:00:00"/>
    <n v="3"/>
    <n v="5"/>
    <n v="3"/>
    <n v="8"/>
  </r>
  <r>
    <s v="L1023"/>
    <x v="0"/>
    <x v="0"/>
    <x v="17"/>
    <x v="17"/>
    <x v="17"/>
    <x v="19"/>
    <x v="0"/>
    <x v="0"/>
    <d v="2025-11-02T00:00:00"/>
    <n v="2"/>
    <n v="4"/>
    <n v="4"/>
    <n v="3"/>
  </r>
  <r>
    <s v="L1024"/>
    <x v="1"/>
    <x v="0"/>
    <x v="18"/>
    <x v="0"/>
    <x v="18"/>
    <x v="0"/>
    <x v="0"/>
    <x v="0"/>
    <d v="2025-11-23T00:00:00"/>
    <n v="5"/>
    <n v="2"/>
    <n v="7"/>
    <n v="1"/>
  </r>
  <r>
    <s v="L1025"/>
    <x v="3"/>
    <x v="0"/>
    <x v="19"/>
    <x v="12"/>
    <x v="12"/>
    <x v="0"/>
    <x v="0"/>
    <x v="0"/>
    <d v="2025-11-18T00:00:00"/>
    <n v="1"/>
    <n v="5"/>
    <n v="2"/>
    <n v="4"/>
  </r>
  <r>
    <s v="L1026"/>
    <x v="2"/>
    <x v="0"/>
    <x v="20"/>
    <x v="8"/>
    <x v="19"/>
    <x v="20"/>
    <x v="0"/>
    <x v="0"/>
    <d v="2025-12-05T00:00:00"/>
    <n v="5"/>
    <n v="5"/>
    <n v="6"/>
    <n v="1"/>
  </r>
  <r>
    <s v="L1027"/>
    <x v="0"/>
    <x v="0"/>
    <x v="21"/>
    <x v="18"/>
    <x v="18"/>
    <x v="21"/>
    <x v="0"/>
    <x v="0"/>
    <d v="2025-11-09T00:00:00"/>
    <n v="5"/>
    <n v="4"/>
    <n v="2"/>
    <n v="3"/>
  </r>
  <r>
    <s v="L1028"/>
    <x v="2"/>
    <x v="0"/>
    <x v="22"/>
    <x v="11"/>
    <x v="12"/>
    <x v="4"/>
    <x v="0"/>
    <x v="0"/>
    <d v="2025-11-17T00:00:00"/>
    <n v="5"/>
    <n v="2"/>
    <n v="6"/>
    <n v="3"/>
  </r>
  <r>
    <s v="L1029"/>
    <x v="0"/>
    <x v="1"/>
    <x v="6"/>
    <x v="2"/>
    <x v="2"/>
    <x v="2"/>
    <x v="1"/>
    <x v="3"/>
    <m/>
    <m/>
    <m/>
    <m/>
    <m/>
  </r>
  <r>
    <s v="L1030"/>
    <x v="1"/>
    <x v="0"/>
    <x v="11"/>
    <x v="3"/>
    <x v="6"/>
    <x v="15"/>
    <x v="0"/>
    <x v="0"/>
    <d v="2025-11-06T00:00:00"/>
    <n v="3"/>
    <n v="2"/>
    <n v="3"/>
    <n v="3"/>
  </r>
  <r>
    <s v="L1031"/>
    <x v="2"/>
    <x v="0"/>
    <x v="4"/>
    <x v="14"/>
    <x v="20"/>
    <x v="22"/>
    <x v="0"/>
    <x v="0"/>
    <d v="2025-11-17T00:00:00"/>
    <n v="1"/>
    <n v="1"/>
    <n v="4"/>
    <n v="5"/>
  </r>
  <r>
    <s v="L1032"/>
    <x v="0"/>
    <x v="0"/>
    <x v="5"/>
    <x v="4"/>
    <x v="7"/>
    <x v="23"/>
    <x v="0"/>
    <x v="0"/>
    <d v="2025-11-23T00:00:00"/>
    <n v="4"/>
    <n v="5"/>
    <n v="4"/>
    <n v="3"/>
  </r>
  <r>
    <s v="L1033"/>
    <x v="1"/>
    <x v="0"/>
    <x v="15"/>
    <x v="12"/>
    <x v="8"/>
    <x v="24"/>
    <x v="0"/>
    <x v="0"/>
    <d v="2025-11-13T00:00:00"/>
    <n v="3"/>
    <n v="1"/>
    <n v="3"/>
    <n v="3"/>
  </r>
  <r>
    <s v="L1034"/>
    <x v="2"/>
    <x v="1"/>
    <x v="23"/>
    <x v="2"/>
    <x v="2"/>
    <x v="2"/>
    <x v="1"/>
    <x v="2"/>
    <m/>
    <m/>
    <m/>
    <m/>
    <m/>
  </r>
  <r>
    <s v="L1035"/>
    <x v="2"/>
    <x v="0"/>
    <x v="17"/>
    <x v="19"/>
    <x v="17"/>
    <x v="22"/>
    <x v="0"/>
    <x v="0"/>
    <d v="2025-11-15T00:00:00"/>
    <n v="4"/>
    <n v="2"/>
    <n v="5"/>
    <n v="9"/>
  </r>
  <r>
    <s v="L1036"/>
    <x v="0"/>
    <x v="0"/>
    <x v="1"/>
    <x v="20"/>
    <x v="21"/>
    <x v="6"/>
    <x v="1"/>
    <x v="4"/>
    <m/>
    <n v="1"/>
    <n v="1"/>
    <n v="2"/>
    <m/>
  </r>
  <r>
    <s v="L1037"/>
    <x v="0"/>
    <x v="0"/>
    <x v="3"/>
    <x v="4"/>
    <x v="4"/>
    <x v="11"/>
    <x v="0"/>
    <x v="0"/>
    <d v="2025-11-29T00:00:00"/>
    <n v="3"/>
    <n v="4"/>
    <n v="4"/>
    <n v="2"/>
  </r>
  <r>
    <s v="L1038"/>
    <x v="0"/>
    <x v="0"/>
    <x v="24"/>
    <x v="19"/>
    <x v="20"/>
    <x v="15"/>
    <x v="0"/>
    <x v="0"/>
    <d v="2025-11-04T00:00:00"/>
    <n v="5"/>
    <n v="3"/>
    <n v="7"/>
    <n v="9"/>
  </r>
  <r>
    <s v="L1039"/>
    <x v="1"/>
    <x v="0"/>
    <x v="5"/>
    <x v="11"/>
    <x v="22"/>
    <x v="11"/>
    <x v="1"/>
    <x v="1"/>
    <m/>
    <n v="3"/>
    <n v="4"/>
    <n v="5"/>
    <m/>
  </r>
  <r>
    <s v="L1040"/>
    <x v="0"/>
    <x v="1"/>
    <x v="20"/>
    <x v="2"/>
    <x v="2"/>
    <x v="2"/>
    <x v="1"/>
    <x v="2"/>
    <m/>
    <m/>
    <m/>
    <m/>
    <m/>
  </r>
  <r>
    <s v="L1041"/>
    <x v="2"/>
    <x v="0"/>
    <x v="25"/>
    <x v="13"/>
    <x v="5"/>
    <x v="25"/>
    <x v="0"/>
    <x v="0"/>
    <d v="2025-11-04T00:00:00"/>
    <n v="3"/>
    <n v="2"/>
    <n v="6"/>
    <n v="6"/>
  </r>
  <r>
    <s v="L1042"/>
    <x v="2"/>
    <x v="0"/>
    <x v="17"/>
    <x v="21"/>
    <x v="23"/>
    <x v="12"/>
    <x v="0"/>
    <x v="0"/>
    <d v="2025-11-12T00:00:00"/>
    <n v="1"/>
    <n v="4"/>
    <n v="7"/>
    <n v="7"/>
  </r>
  <r>
    <s v="L1043"/>
    <x v="0"/>
    <x v="1"/>
    <x v="10"/>
    <x v="2"/>
    <x v="2"/>
    <x v="2"/>
    <x v="1"/>
    <x v="3"/>
    <m/>
    <m/>
    <m/>
    <m/>
    <m/>
  </r>
  <r>
    <s v="L1044"/>
    <x v="0"/>
    <x v="2"/>
    <x v="11"/>
    <x v="5"/>
    <x v="24"/>
    <x v="1"/>
    <x v="0"/>
    <x v="0"/>
    <d v="2025-11-23T00:00:00"/>
    <n v="5"/>
    <n v="2"/>
    <n v="4"/>
    <n v="8"/>
  </r>
  <r>
    <s v="L1045"/>
    <x v="3"/>
    <x v="2"/>
    <x v="24"/>
    <x v="19"/>
    <x v="25"/>
    <x v="15"/>
    <x v="0"/>
    <x v="0"/>
    <d v="2025-11-05T00:00:00"/>
    <n v="5"/>
    <n v="4"/>
    <n v="6"/>
    <n v="3"/>
  </r>
  <r>
    <s v="L1046"/>
    <x v="2"/>
    <x v="0"/>
    <x v="22"/>
    <x v="12"/>
    <x v="12"/>
    <x v="13"/>
    <x v="0"/>
    <x v="0"/>
    <d v="2025-11-26T00:00:00"/>
    <n v="2"/>
    <n v="5"/>
    <n v="5"/>
    <n v="5"/>
  </r>
  <r>
    <s v="L1047"/>
    <x v="1"/>
    <x v="1"/>
    <x v="11"/>
    <x v="2"/>
    <x v="2"/>
    <x v="2"/>
    <x v="1"/>
    <x v="2"/>
    <m/>
    <m/>
    <m/>
    <m/>
    <m/>
  </r>
  <r>
    <s v="L1048"/>
    <x v="3"/>
    <x v="2"/>
    <x v="23"/>
    <x v="16"/>
    <x v="26"/>
    <x v="17"/>
    <x v="0"/>
    <x v="0"/>
    <d v="2025-11-20T00:00:00"/>
    <n v="2"/>
    <n v="5"/>
    <n v="6"/>
    <n v="0"/>
  </r>
  <r>
    <s v="L1049"/>
    <x v="0"/>
    <x v="2"/>
    <x v="18"/>
    <x v="9"/>
    <x v="8"/>
    <x v="26"/>
    <x v="0"/>
    <x v="0"/>
    <d v="2025-11-22T00:00:00"/>
    <n v="4"/>
    <n v="4"/>
    <n v="5"/>
    <n v="6"/>
  </r>
  <r>
    <s v="L1050"/>
    <x v="0"/>
    <x v="2"/>
    <x v="26"/>
    <x v="9"/>
    <x v="27"/>
    <x v="24"/>
    <x v="0"/>
    <x v="0"/>
    <d v="2025-11-14T00:00:00"/>
    <n v="2"/>
    <n v="1"/>
    <n v="6"/>
    <n v="6"/>
  </r>
  <r>
    <s v="L1051"/>
    <x v="2"/>
    <x v="2"/>
    <x v="27"/>
    <x v="1"/>
    <x v="20"/>
    <x v="27"/>
    <x v="0"/>
    <x v="0"/>
    <d v="2025-11-02T00:00:00"/>
    <n v="1"/>
    <n v="2"/>
    <n v="2"/>
    <n v="6"/>
  </r>
  <r>
    <s v="L1052"/>
    <x v="0"/>
    <x v="2"/>
    <x v="1"/>
    <x v="1"/>
    <x v="1"/>
    <x v="15"/>
    <x v="0"/>
    <x v="0"/>
    <d v="2025-11-15T00:00:00"/>
    <n v="3"/>
    <n v="5"/>
    <n v="4"/>
    <n v="4"/>
  </r>
  <r>
    <s v="L1053"/>
    <x v="1"/>
    <x v="0"/>
    <x v="2"/>
    <x v="13"/>
    <x v="5"/>
    <x v="28"/>
    <x v="0"/>
    <x v="0"/>
    <d v="2025-11-11T00:00:00"/>
    <n v="5"/>
    <n v="2"/>
    <n v="4"/>
    <n v="4"/>
  </r>
  <r>
    <s v="L1054"/>
    <x v="2"/>
    <x v="0"/>
    <x v="6"/>
    <x v="22"/>
    <x v="28"/>
    <x v="21"/>
    <x v="0"/>
    <x v="0"/>
    <d v="2025-11-23T00:00:00"/>
    <n v="3"/>
    <n v="5"/>
    <n v="5"/>
    <n v="8"/>
  </r>
  <r>
    <s v="L1055"/>
    <x v="0"/>
    <x v="2"/>
    <x v="3"/>
    <x v="23"/>
    <x v="12"/>
    <x v="4"/>
    <x v="0"/>
    <x v="0"/>
    <d v="2025-12-07T00:00:00"/>
    <n v="1"/>
    <n v="3"/>
    <n v="6"/>
    <n v="3"/>
  </r>
  <r>
    <s v="L1056"/>
    <x v="2"/>
    <x v="0"/>
    <x v="1"/>
    <x v="1"/>
    <x v="11"/>
    <x v="12"/>
    <x v="0"/>
    <x v="0"/>
    <d v="2025-11-10T00:00:00"/>
    <n v="3"/>
    <n v="4"/>
    <n v="3"/>
    <n v="6"/>
  </r>
  <r>
    <s v="L1057"/>
    <x v="0"/>
    <x v="2"/>
    <x v="14"/>
    <x v="17"/>
    <x v="20"/>
    <x v="15"/>
    <x v="0"/>
    <x v="0"/>
    <d v="2025-11-07T00:00:00"/>
    <n v="5"/>
    <n v="5"/>
    <n v="7"/>
    <n v="1"/>
  </r>
  <r>
    <s v="L1058"/>
    <x v="0"/>
    <x v="0"/>
    <x v="6"/>
    <x v="3"/>
    <x v="24"/>
    <x v="21"/>
    <x v="1"/>
    <x v="4"/>
    <m/>
    <n v="2"/>
    <n v="4"/>
    <n v="7"/>
    <m/>
  </r>
  <r>
    <s v="L1059"/>
    <x v="0"/>
    <x v="0"/>
    <x v="28"/>
    <x v="17"/>
    <x v="23"/>
    <x v="27"/>
    <x v="0"/>
    <x v="0"/>
    <d v="2025-11-14T00:00:00"/>
    <n v="4"/>
    <n v="3"/>
    <n v="4"/>
    <n v="2"/>
  </r>
  <r>
    <s v="L1060"/>
    <x v="1"/>
    <x v="0"/>
    <x v="9"/>
    <x v="7"/>
    <x v="1"/>
    <x v="7"/>
    <x v="0"/>
    <x v="0"/>
    <d v="2025-11-23T00:00:00"/>
    <n v="5"/>
    <n v="2"/>
    <n v="6"/>
    <n v="7"/>
  </r>
  <r>
    <s v="L1061"/>
    <x v="1"/>
    <x v="2"/>
    <x v="19"/>
    <x v="4"/>
    <x v="4"/>
    <x v="8"/>
    <x v="0"/>
    <x v="0"/>
    <d v="2025-12-01T00:00:00"/>
    <n v="5"/>
    <n v="4"/>
    <n v="6"/>
    <n v="9"/>
  </r>
  <r>
    <s v="L1062"/>
    <x v="2"/>
    <x v="0"/>
    <x v="17"/>
    <x v="1"/>
    <x v="1"/>
    <x v="12"/>
    <x v="0"/>
    <x v="0"/>
    <d v="2025-11-07T00:00:00"/>
    <n v="5"/>
    <n v="5"/>
    <n v="2"/>
    <n v="3"/>
  </r>
  <r>
    <s v="L1063"/>
    <x v="0"/>
    <x v="2"/>
    <x v="1"/>
    <x v="24"/>
    <x v="1"/>
    <x v="1"/>
    <x v="0"/>
    <x v="0"/>
    <d v="2025-11-23T00:00:00"/>
    <n v="5"/>
    <n v="3"/>
    <n v="7"/>
    <n v="3"/>
  </r>
  <r>
    <s v="L1064"/>
    <x v="0"/>
    <x v="1"/>
    <x v="17"/>
    <x v="2"/>
    <x v="2"/>
    <x v="2"/>
    <x v="1"/>
    <x v="1"/>
    <m/>
    <m/>
    <m/>
    <m/>
    <m/>
  </r>
  <r>
    <s v="L1065"/>
    <x v="1"/>
    <x v="0"/>
    <x v="10"/>
    <x v="11"/>
    <x v="4"/>
    <x v="4"/>
    <x v="0"/>
    <x v="0"/>
    <d v="2025-11-22T00:00:00"/>
    <n v="1"/>
    <n v="5"/>
    <n v="3"/>
    <n v="10"/>
  </r>
  <r>
    <s v="L1066"/>
    <x v="0"/>
    <x v="0"/>
    <x v="18"/>
    <x v="0"/>
    <x v="8"/>
    <x v="17"/>
    <x v="0"/>
    <x v="0"/>
    <d v="2025-11-23T00:00:00"/>
    <n v="5"/>
    <n v="3"/>
    <n v="4"/>
    <n v="4"/>
  </r>
  <r>
    <s v="L1067"/>
    <x v="1"/>
    <x v="2"/>
    <x v="12"/>
    <x v="25"/>
    <x v="0"/>
    <x v="24"/>
    <x v="0"/>
    <x v="0"/>
    <d v="2025-11-19T00:00:00"/>
    <n v="3"/>
    <n v="3"/>
    <n v="2"/>
    <n v="5"/>
  </r>
  <r>
    <s v="L1068"/>
    <x v="0"/>
    <x v="1"/>
    <x v="10"/>
    <x v="2"/>
    <x v="2"/>
    <x v="2"/>
    <x v="1"/>
    <x v="4"/>
    <m/>
    <m/>
    <m/>
    <m/>
    <m/>
  </r>
  <r>
    <s v="L1069"/>
    <x v="2"/>
    <x v="2"/>
    <x v="17"/>
    <x v="21"/>
    <x v="17"/>
    <x v="27"/>
    <x v="0"/>
    <x v="0"/>
    <d v="2025-11-06T00:00:00"/>
    <n v="1"/>
    <n v="5"/>
    <n v="3"/>
    <n v="1"/>
  </r>
  <r>
    <s v="L1070"/>
    <x v="0"/>
    <x v="2"/>
    <x v="21"/>
    <x v="5"/>
    <x v="28"/>
    <x v="5"/>
    <x v="0"/>
    <x v="0"/>
    <d v="2025-11-11T00:00:00"/>
    <n v="2"/>
    <n v="4"/>
    <n v="4"/>
    <n v="10"/>
  </r>
  <r>
    <s v="L1071"/>
    <x v="0"/>
    <x v="0"/>
    <x v="2"/>
    <x v="26"/>
    <x v="29"/>
    <x v="29"/>
    <x v="0"/>
    <x v="0"/>
    <d v="2025-10-23T00:00:00"/>
    <n v="3"/>
    <n v="2"/>
    <n v="2"/>
    <n v="7"/>
  </r>
  <r>
    <s v="L1072"/>
    <x v="3"/>
    <x v="2"/>
    <x v="16"/>
    <x v="5"/>
    <x v="24"/>
    <x v="7"/>
    <x v="0"/>
    <x v="0"/>
    <d v="2025-11-04T00:00:00"/>
    <n v="3"/>
    <n v="2"/>
    <n v="3"/>
    <n v="6"/>
  </r>
  <r>
    <s v="L1073"/>
    <x v="1"/>
    <x v="1"/>
    <x v="8"/>
    <x v="2"/>
    <x v="2"/>
    <x v="2"/>
    <x v="1"/>
    <x v="5"/>
    <m/>
    <m/>
    <m/>
    <m/>
    <m/>
  </r>
  <r>
    <s v="L1074"/>
    <x v="0"/>
    <x v="0"/>
    <x v="28"/>
    <x v="21"/>
    <x v="21"/>
    <x v="16"/>
    <x v="0"/>
    <x v="0"/>
    <d v="2025-11-14T00:00:00"/>
    <n v="3"/>
    <n v="3"/>
    <n v="4"/>
    <n v="0"/>
  </r>
  <r>
    <s v="L1075"/>
    <x v="0"/>
    <x v="2"/>
    <x v="25"/>
    <x v="13"/>
    <x v="30"/>
    <x v="27"/>
    <x v="0"/>
    <x v="0"/>
    <d v="2025-11-09T00:00:00"/>
    <n v="3"/>
    <n v="5"/>
    <n v="7"/>
    <n v="1"/>
  </r>
  <r>
    <s v="L1076"/>
    <x v="3"/>
    <x v="0"/>
    <x v="24"/>
    <x v="27"/>
    <x v="14"/>
    <x v="6"/>
    <x v="0"/>
    <x v="0"/>
    <d v="2025-11-12T00:00:00"/>
    <n v="1"/>
    <n v="3"/>
    <n v="3"/>
    <n v="8"/>
  </r>
  <r>
    <s v="L1077"/>
    <x v="3"/>
    <x v="1"/>
    <x v="15"/>
    <x v="2"/>
    <x v="2"/>
    <x v="2"/>
    <x v="1"/>
    <x v="1"/>
    <m/>
    <m/>
    <m/>
    <m/>
    <m/>
  </r>
  <r>
    <s v="L1078"/>
    <x v="1"/>
    <x v="1"/>
    <x v="4"/>
    <x v="2"/>
    <x v="2"/>
    <x v="2"/>
    <x v="1"/>
    <x v="4"/>
    <m/>
    <m/>
    <m/>
    <m/>
    <m/>
  </r>
  <r>
    <s v="L1079"/>
    <x v="3"/>
    <x v="0"/>
    <x v="6"/>
    <x v="3"/>
    <x v="6"/>
    <x v="1"/>
    <x v="1"/>
    <x v="3"/>
    <m/>
    <n v="2"/>
    <n v="2"/>
    <n v="6"/>
    <m/>
  </r>
  <r>
    <s v="L1080"/>
    <x v="2"/>
    <x v="1"/>
    <x v="21"/>
    <x v="2"/>
    <x v="2"/>
    <x v="2"/>
    <x v="1"/>
    <x v="1"/>
    <m/>
    <m/>
    <m/>
    <m/>
    <m/>
  </r>
  <r>
    <s v="L1081"/>
    <x v="3"/>
    <x v="1"/>
    <x v="22"/>
    <x v="2"/>
    <x v="2"/>
    <x v="2"/>
    <x v="1"/>
    <x v="1"/>
    <m/>
    <m/>
    <m/>
    <m/>
    <m/>
  </r>
  <r>
    <s v="L1082"/>
    <x v="2"/>
    <x v="0"/>
    <x v="24"/>
    <x v="21"/>
    <x v="21"/>
    <x v="27"/>
    <x v="0"/>
    <x v="0"/>
    <d v="2025-10-29T00:00:00"/>
    <n v="2"/>
    <n v="3"/>
    <n v="5"/>
    <n v="5"/>
  </r>
  <r>
    <s v="L1083"/>
    <x v="1"/>
    <x v="2"/>
    <x v="12"/>
    <x v="28"/>
    <x v="31"/>
    <x v="18"/>
    <x v="0"/>
    <x v="0"/>
    <d v="2025-11-20T00:00:00"/>
    <n v="5"/>
    <n v="3"/>
    <n v="5"/>
    <n v="5"/>
  </r>
  <r>
    <s v="L1084"/>
    <x v="1"/>
    <x v="0"/>
    <x v="6"/>
    <x v="5"/>
    <x v="24"/>
    <x v="5"/>
    <x v="0"/>
    <x v="0"/>
    <d v="2025-11-26T00:00:00"/>
    <n v="4"/>
    <n v="2"/>
    <n v="6"/>
    <n v="4"/>
  </r>
  <r>
    <s v="L1085"/>
    <x v="1"/>
    <x v="1"/>
    <x v="0"/>
    <x v="2"/>
    <x v="2"/>
    <x v="2"/>
    <x v="1"/>
    <x v="2"/>
    <m/>
    <m/>
    <m/>
    <m/>
    <m/>
  </r>
  <r>
    <s v="L1086"/>
    <x v="1"/>
    <x v="2"/>
    <x v="12"/>
    <x v="9"/>
    <x v="8"/>
    <x v="24"/>
    <x v="0"/>
    <x v="0"/>
    <d v="2025-11-20T00:00:00"/>
    <n v="1"/>
    <n v="4"/>
    <n v="3"/>
    <n v="7"/>
  </r>
  <r>
    <s v="L1087"/>
    <x v="1"/>
    <x v="1"/>
    <x v="6"/>
    <x v="2"/>
    <x v="2"/>
    <x v="2"/>
    <x v="1"/>
    <x v="3"/>
    <m/>
    <m/>
    <m/>
    <m/>
    <m/>
  </r>
  <r>
    <s v="L1088"/>
    <x v="2"/>
    <x v="2"/>
    <x v="11"/>
    <x v="7"/>
    <x v="6"/>
    <x v="1"/>
    <x v="0"/>
    <x v="0"/>
    <d v="2025-11-24T00:00:00"/>
    <n v="2"/>
    <n v="3"/>
    <n v="6"/>
    <n v="5"/>
  </r>
  <r>
    <s v="L1089"/>
    <x v="2"/>
    <x v="2"/>
    <x v="19"/>
    <x v="12"/>
    <x v="31"/>
    <x v="18"/>
    <x v="0"/>
    <x v="0"/>
    <d v="2025-11-22T00:00:00"/>
    <n v="1"/>
    <n v="4"/>
    <n v="5"/>
    <n v="8"/>
  </r>
  <r>
    <s v="L1090"/>
    <x v="1"/>
    <x v="0"/>
    <x v="2"/>
    <x v="29"/>
    <x v="32"/>
    <x v="30"/>
    <x v="0"/>
    <x v="0"/>
    <d v="2025-11-09T00:00:00"/>
    <n v="1"/>
    <n v="3"/>
    <n v="5"/>
    <n v="0"/>
  </r>
  <r>
    <s v="L1091"/>
    <x v="3"/>
    <x v="2"/>
    <x v="25"/>
    <x v="30"/>
    <x v="21"/>
    <x v="14"/>
    <x v="0"/>
    <x v="0"/>
    <d v="2025-11-13T00:00:00"/>
    <n v="5"/>
    <n v="5"/>
    <n v="3"/>
    <n v="9"/>
  </r>
  <r>
    <s v="L1092"/>
    <x v="0"/>
    <x v="1"/>
    <x v="29"/>
    <x v="2"/>
    <x v="2"/>
    <x v="2"/>
    <x v="1"/>
    <x v="5"/>
    <m/>
    <m/>
    <m/>
    <m/>
    <m/>
  </r>
  <r>
    <s v="L1093"/>
    <x v="1"/>
    <x v="1"/>
    <x v="24"/>
    <x v="2"/>
    <x v="2"/>
    <x v="2"/>
    <x v="1"/>
    <x v="4"/>
    <m/>
    <m/>
    <m/>
    <m/>
    <m/>
  </r>
  <r>
    <s v="L1094"/>
    <x v="3"/>
    <x v="1"/>
    <x v="27"/>
    <x v="2"/>
    <x v="2"/>
    <x v="2"/>
    <x v="1"/>
    <x v="2"/>
    <m/>
    <m/>
    <m/>
    <m/>
    <m/>
  </r>
  <r>
    <s v="L1095"/>
    <x v="0"/>
    <x v="0"/>
    <x v="12"/>
    <x v="0"/>
    <x v="8"/>
    <x v="26"/>
    <x v="0"/>
    <x v="0"/>
    <d v="2025-11-15T00:00:00"/>
    <n v="2"/>
    <n v="3"/>
    <n v="5"/>
    <n v="9"/>
  </r>
  <r>
    <s v="L1096"/>
    <x v="1"/>
    <x v="2"/>
    <x v="24"/>
    <x v="20"/>
    <x v="17"/>
    <x v="31"/>
    <x v="1"/>
    <x v="4"/>
    <m/>
    <n v="4"/>
    <n v="3"/>
    <n v="7"/>
    <m/>
  </r>
  <r>
    <s v="L1097"/>
    <x v="1"/>
    <x v="0"/>
    <x v="29"/>
    <x v="1"/>
    <x v="17"/>
    <x v="12"/>
    <x v="0"/>
    <x v="0"/>
    <d v="2025-11-15T00:00:00"/>
    <n v="4"/>
    <n v="1"/>
    <n v="6"/>
    <n v="6"/>
  </r>
  <r>
    <s v="L1098"/>
    <x v="2"/>
    <x v="0"/>
    <x v="26"/>
    <x v="25"/>
    <x v="31"/>
    <x v="4"/>
    <x v="0"/>
    <x v="0"/>
    <d v="2025-11-21T00:00:00"/>
    <n v="4"/>
    <n v="5"/>
    <n v="7"/>
    <n v="0"/>
  </r>
  <r>
    <s v="L1099"/>
    <x v="0"/>
    <x v="0"/>
    <x v="23"/>
    <x v="31"/>
    <x v="18"/>
    <x v="0"/>
    <x v="0"/>
    <x v="0"/>
    <d v="2025-11-23T00:00:00"/>
    <n v="3"/>
    <n v="5"/>
    <n v="7"/>
    <n v="10"/>
  </r>
  <r>
    <s v="L1100"/>
    <x v="0"/>
    <x v="2"/>
    <x v="9"/>
    <x v="1"/>
    <x v="11"/>
    <x v="12"/>
    <x v="0"/>
    <x v="0"/>
    <d v="2025-11-02T00:00:00"/>
    <n v="2"/>
    <n v="4"/>
    <n v="3"/>
    <n v="1"/>
  </r>
  <r>
    <s v="L1101"/>
    <x v="3"/>
    <x v="0"/>
    <x v="6"/>
    <x v="22"/>
    <x v="16"/>
    <x v="21"/>
    <x v="0"/>
    <x v="0"/>
    <d v="2025-11-15T00:00:00"/>
    <n v="3"/>
    <n v="4"/>
    <n v="6"/>
    <n v="1"/>
  </r>
  <r>
    <s v="L1102"/>
    <x v="2"/>
    <x v="0"/>
    <x v="21"/>
    <x v="16"/>
    <x v="28"/>
    <x v="32"/>
    <x v="0"/>
    <x v="0"/>
    <d v="2025-11-17T00:00:00"/>
    <n v="3"/>
    <n v="3"/>
    <n v="3"/>
    <n v="0"/>
  </r>
  <r>
    <s v="L1103"/>
    <x v="2"/>
    <x v="1"/>
    <x v="16"/>
    <x v="2"/>
    <x v="2"/>
    <x v="2"/>
    <x v="1"/>
    <x v="5"/>
    <m/>
    <m/>
    <m/>
    <m/>
    <m/>
  </r>
  <r>
    <s v="L1104"/>
    <x v="2"/>
    <x v="1"/>
    <x v="9"/>
    <x v="2"/>
    <x v="2"/>
    <x v="2"/>
    <x v="1"/>
    <x v="5"/>
    <m/>
    <m/>
    <m/>
    <m/>
    <m/>
  </r>
  <r>
    <s v="L1105"/>
    <x v="2"/>
    <x v="0"/>
    <x v="4"/>
    <x v="7"/>
    <x v="1"/>
    <x v="3"/>
    <x v="0"/>
    <x v="0"/>
    <d v="2025-11-13T00:00:00"/>
    <n v="3"/>
    <n v="2"/>
    <n v="5"/>
    <n v="2"/>
  </r>
  <r>
    <s v="L1106"/>
    <x v="0"/>
    <x v="0"/>
    <x v="15"/>
    <x v="23"/>
    <x v="12"/>
    <x v="18"/>
    <x v="1"/>
    <x v="1"/>
    <m/>
    <n v="5"/>
    <n v="3"/>
    <n v="4"/>
    <m/>
  </r>
  <r>
    <s v="L1107"/>
    <x v="0"/>
    <x v="0"/>
    <x v="21"/>
    <x v="18"/>
    <x v="28"/>
    <x v="32"/>
    <x v="0"/>
    <x v="0"/>
    <d v="2025-11-11T00:00:00"/>
    <n v="5"/>
    <n v="1"/>
    <n v="3"/>
    <n v="10"/>
  </r>
  <r>
    <s v="L1108"/>
    <x v="1"/>
    <x v="2"/>
    <x v="1"/>
    <x v="20"/>
    <x v="17"/>
    <x v="27"/>
    <x v="0"/>
    <x v="0"/>
    <d v="2025-11-17T00:00:00"/>
    <n v="1"/>
    <n v="3"/>
    <n v="3"/>
    <n v="4"/>
  </r>
  <r>
    <s v="L1109"/>
    <x v="1"/>
    <x v="1"/>
    <x v="9"/>
    <x v="2"/>
    <x v="2"/>
    <x v="2"/>
    <x v="1"/>
    <x v="5"/>
    <m/>
    <m/>
    <m/>
    <m/>
    <m/>
  </r>
  <r>
    <s v="L1110"/>
    <x v="2"/>
    <x v="1"/>
    <x v="12"/>
    <x v="2"/>
    <x v="2"/>
    <x v="2"/>
    <x v="1"/>
    <x v="4"/>
    <m/>
    <m/>
    <m/>
    <m/>
    <m/>
  </r>
  <r>
    <s v="L1111"/>
    <x v="2"/>
    <x v="0"/>
    <x v="11"/>
    <x v="24"/>
    <x v="25"/>
    <x v="12"/>
    <x v="0"/>
    <x v="0"/>
    <d v="2025-11-02T00:00:00"/>
    <n v="1"/>
    <n v="1"/>
    <n v="4"/>
    <n v="2"/>
  </r>
  <r>
    <s v="L1112"/>
    <x v="2"/>
    <x v="0"/>
    <x v="17"/>
    <x v="17"/>
    <x v="23"/>
    <x v="19"/>
    <x v="1"/>
    <x v="3"/>
    <m/>
    <n v="2"/>
    <n v="3"/>
    <n v="5"/>
    <m/>
  </r>
  <r>
    <s v="L1113"/>
    <x v="1"/>
    <x v="2"/>
    <x v="29"/>
    <x v="20"/>
    <x v="20"/>
    <x v="31"/>
    <x v="0"/>
    <x v="0"/>
    <d v="2025-11-21T00:00:00"/>
    <n v="2"/>
    <n v="4"/>
    <n v="6"/>
    <n v="6"/>
  </r>
  <r>
    <s v="L1114"/>
    <x v="3"/>
    <x v="0"/>
    <x v="17"/>
    <x v="1"/>
    <x v="25"/>
    <x v="19"/>
    <x v="0"/>
    <x v="0"/>
    <d v="2025-11-08T00:00:00"/>
    <n v="5"/>
    <n v="3"/>
    <n v="2"/>
    <n v="10"/>
  </r>
  <r>
    <s v="L1115"/>
    <x v="3"/>
    <x v="2"/>
    <x v="24"/>
    <x v="27"/>
    <x v="21"/>
    <x v="16"/>
    <x v="0"/>
    <x v="0"/>
    <d v="2025-11-10T00:00:00"/>
    <n v="1"/>
    <n v="4"/>
    <n v="4"/>
    <n v="8"/>
  </r>
  <r>
    <s v="L1116"/>
    <x v="1"/>
    <x v="1"/>
    <x v="7"/>
    <x v="2"/>
    <x v="2"/>
    <x v="2"/>
    <x v="1"/>
    <x v="3"/>
    <m/>
    <m/>
    <m/>
    <m/>
    <m/>
  </r>
  <r>
    <s v="L1117"/>
    <x v="1"/>
    <x v="2"/>
    <x v="15"/>
    <x v="0"/>
    <x v="18"/>
    <x v="21"/>
    <x v="0"/>
    <x v="0"/>
    <d v="2025-11-08T00:00:00"/>
    <n v="1"/>
    <n v="2"/>
    <n v="2"/>
    <n v="1"/>
  </r>
  <r>
    <s v="L1118"/>
    <x v="1"/>
    <x v="0"/>
    <x v="28"/>
    <x v="21"/>
    <x v="14"/>
    <x v="16"/>
    <x v="0"/>
    <x v="0"/>
    <d v="2025-11-04T00:00:00"/>
    <n v="3"/>
    <n v="2"/>
    <n v="5"/>
    <n v="5"/>
  </r>
  <r>
    <s v="L1119"/>
    <x v="1"/>
    <x v="1"/>
    <x v="1"/>
    <x v="2"/>
    <x v="2"/>
    <x v="2"/>
    <x v="1"/>
    <x v="1"/>
    <m/>
    <m/>
    <m/>
    <m/>
    <m/>
  </r>
  <r>
    <s v="L1120"/>
    <x v="1"/>
    <x v="0"/>
    <x v="7"/>
    <x v="30"/>
    <x v="21"/>
    <x v="14"/>
    <x v="0"/>
    <x v="0"/>
    <d v="2025-11-01T00:00:00"/>
    <n v="4"/>
    <n v="5"/>
    <n v="3"/>
    <n v="1"/>
  </r>
  <r>
    <s v="L1121"/>
    <x v="1"/>
    <x v="2"/>
    <x v="15"/>
    <x v="28"/>
    <x v="31"/>
    <x v="0"/>
    <x v="0"/>
    <x v="0"/>
    <d v="2025-11-20T00:00:00"/>
    <n v="4"/>
    <n v="3"/>
    <n v="3"/>
    <n v="2"/>
  </r>
  <r>
    <s v="L1122"/>
    <x v="2"/>
    <x v="2"/>
    <x v="21"/>
    <x v="31"/>
    <x v="18"/>
    <x v="17"/>
    <x v="0"/>
    <x v="0"/>
    <d v="2025-11-13T00:00:00"/>
    <n v="4"/>
    <n v="5"/>
    <n v="5"/>
    <n v="6"/>
  </r>
  <r>
    <s v="L1123"/>
    <x v="2"/>
    <x v="2"/>
    <x v="8"/>
    <x v="32"/>
    <x v="33"/>
    <x v="33"/>
    <x v="0"/>
    <x v="0"/>
    <d v="2025-12-05T00:00:00"/>
    <n v="5"/>
    <n v="3"/>
    <n v="6"/>
    <n v="5"/>
  </r>
  <r>
    <s v="L1124"/>
    <x v="2"/>
    <x v="0"/>
    <x v="22"/>
    <x v="23"/>
    <x v="31"/>
    <x v="13"/>
    <x v="0"/>
    <x v="0"/>
    <d v="2025-11-24T00:00:00"/>
    <n v="4"/>
    <n v="2"/>
    <n v="6"/>
    <n v="4"/>
  </r>
  <r>
    <s v="L1125"/>
    <x v="2"/>
    <x v="2"/>
    <x v="12"/>
    <x v="12"/>
    <x v="8"/>
    <x v="34"/>
    <x v="0"/>
    <x v="0"/>
    <d v="2025-11-17T00:00:00"/>
    <n v="4"/>
    <n v="1"/>
    <n v="7"/>
    <n v="0"/>
  </r>
  <r>
    <s v="L1126"/>
    <x v="1"/>
    <x v="0"/>
    <x v="14"/>
    <x v="27"/>
    <x v="23"/>
    <x v="19"/>
    <x v="0"/>
    <x v="0"/>
    <d v="2025-10-29T00:00:00"/>
    <n v="3"/>
    <n v="5"/>
    <n v="5"/>
    <n v="4"/>
  </r>
  <r>
    <s v="L1127"/>
    <x v="3"/>
    <x v="1"/>
    <x v="28"/>
    <x v="2"/>
    <x v="2"/>
    <x v="2"/>
    <x v="1"/>
    <x v="4"/>
    <m/>
    <m/>
    <m/>
    <m/>
    <m/>
  </r>
  <r>
    <s v="L1128"/>
    <x v="0"/>
    <x v="2"/>
    <x v="28"/>
    <x v="27"/>
    <x v="23"/>
    <x v="19"/>
    <x v="0"/>
    <x v="0"/>
    <d v="2025-10-30T00:00:00"/>
    <n v="2"/>
    <n v="5"/>
    <n v="5"/>
    <n v="4"/>
  </r>
  <r>
    <s v="L1129"/>
    <x v="1"/>
    <x v="1"/>
    <x v="15"/>
    <x v="2"/>
    <x v="2"/>
    <x v="2"/>
    <x v="1"/>
    <x v="4"/>
    <m/>
    <m/>
    <m/>
    <m/>
    <m/>
  </r>
  <r>
    <s v="L1130"/>
    <x v="0"/>
    <x v="1"/>
    <x v="6"/>
    <x v="2"/>
    <x v="2"/>
    <x v="2"/>
    <x v="1"/>
    <x v="5"/>
    <m/>
    <m/>
    <m/>
    <m/>
    <m/>
  </r>
  <r>
    <s v="L1131"/>
    <x v="3"/>
    <x v="2"/>
    <x v="17"/>
    <x v="1"/>
    <x v="20"/>
    <x v="15"/>
    <x v="0"/>
    <x v="0"/>
    <d v="2025-11-14T00:00:00"/>
    <n v="5"/>
    <n v="2"/>
    <n v="7"/>
    <n v="4"/>
  </r>
  <r>
    <s v="L1132"/>
    <x v="2"/>
    <x v="1"/>
    <x v="15"/>
    <x v="2"/>
    <x v="2"/>
    <x v="2"/>
    <x v="1"/>
    <x v="4"/>
    <m/>
    <m/>
    <m/>
    <m/>
    <m/>
  </r>
  <r>
    <s v="L1133"/>
    <x v="3"/>
    <x v="0"/>
    <x v="23"/>
    <x v="5"/>
    <x v="24"/>
    <x v="32"/>
    <x v="0"/>
    <x v="0"/>
    <d v="2025-11-20T00:00:00"/>
    <n v="1"/>
    <n v="2"/>
    <n v="5"/>
    <n v="2"/>
  </r>
  <r>
    <s v="L1134"/>
    <x v="1"/>
    <x v="1"/>
    <x v="22"/>
    <x v="2"/>
    <x v="2"/>
    <x v="2"/>
    <x v="1"/>
    <x v="2"/>
    <m/>
    <m/>
    <m/>
    <m/>
    <m/>
  </r>
  <r>
    <s v="L1135"/>
    <x v="2"/>
    <x v="0"/>
    <x v="16"/>
    <x v="5"/>
    <x v="3"/>
    <x v="1"/>
    <x v="0"/>
    <x v="0"/>
    <d v="2025-11-18T00:00:00"/>
    <n v="3"/>
    <n v="1"/>
    <n v="5"/>
    <n v="3"/>
  </r>
  <r>
    <s v="L1136"/>
    <x v="1"/>
    <x v="0"/>
    <x v="18"/>
    <x v="9"/>
    <x v="0"/>
    <x v="18"/>
    <x v="0"/>
    <x v="0"/>
    <d v="2025-11-20T00:00:00"/>
    <n v="4"/>
    <n v="5"/>
    <n v="7"/>
    <n v="0"/>
  </r>
  <r>
    <s v="L1137"/>
    <x v="2"/>
    <x v="0"/>
    <x v="29"/>
    <x v="17"/>
    <x v="21"/>
    <x v="27"/>
    <x v="1"/>
    <x v="5"/>
    <m/>
    <n v="1"/>
    <n v="2"/>
    <n v="5"/>
    <m/>
  </r>
  <r>
    <s v="L1138"/>
    <x v="0"/>
    <x v="1"/>
    <x v="7"/>
    <x v="2"/>
    <x v="2"/>
    <x v="2"/>
    <x v="1"/>
    <x v="2"/>
    <m/>
    <m/>
    <m/>
    <m/>
    <m/>
  </r>
  <r>
    <s v="L1139"/>
    <x v="0"/>
    <x v="0"/>
    <x v="5"/>
    <x v="11"/>
    <x v="12"/>
    <x v="13"/>
    <x v="0"/>
    <x v="0"/>
    <d v="2025-11-29T00:00:00"/>
    <n v="3"/>
    <n v="2"/>
    <n v="5"/>
    <n v="5"/>
  </r>
  <r>
    <s v="L1140"/>
    <x v="0"/>
    <x v="0"/>
    <x v="28"/>
    <x v="20"/>
    <x v="21"/>
    <x v="14"/>
    <x v="0"/>
    <x v="0"/>
    <d v="2025-11-10T00:00:00"/>
    <n v="5"/>
    <n v="1"/>
    <n v="3"/>
    <n v="0"/>
  </r>
  <r>
    <s v="L1141"/>
    <x v="3"/>
    <x v="1"/>
    <x v="29"/>
    <x v="2"/>
    <x v="2"/>
    <x v="2"/>
    <x v="1"/>
    <x v="1"/>
    <m/>
    <m/>
    <m/>
    <m/>
    <m/>
  </r>
  <r>
    <s v="L1142"/>
    <x v="1"/>
    <x v="2"/>
    <x v="24"/>
    <x v="20"/>
    <x v="21"/>
    <x v="6"/>
    <x v="0"/>
    <x v="0"/>
    <d v="2025-11-06T00:00:00"/>
    <n v="4"/>
    <n v="1"/>
    <n v="2"/>
    <n v="4"/>
  </r>
  <r>
    <s v="L1143"/>
    <x v="3"/>
    <x v="2"/>
    <x v="9"/>
    <x v="7"/>
    <x v="3"/>
    <x v="32"/>
    <x v="0"/>
    <x v="0"/>
    <d v="2025-11-17T00:00:00"/>
    <n v="5"/>
    <n v="4"/>
    <n v="6"/>
    <n v="1"/>
  </r>
  <r>
    <s v="L1144"/>
    <x v="0"/>
    <x v="2"/>
    <x v="14"/>
    <x v="27"/>
    <x v="14"/>
    <x v="25"/>
    <x v="0"/>
    <x v="0"/>
    <d v="2025-11-10T00:00:00"/>
    <n v="3"/>
    <n v="3"/>
    <n v="2"/>
    <n v="6"/>
  </r>
  <r>
    <s v="L1145"/>
    <x v="1"/>
    <x v="0"/>
    <x v="29"/>
    <x v="17"/>
    <x v="17"/>
    <x v="27"/>
    <x v="0"/>
    <x v="0"/>
    <d v="2025-11-09T00:00:00"/>
    <n v="1"/>
    <n v="4"/>
    <n v="3"/>
    <n v="1"/>
  </r>
  <r>
    <s v="L1146"/>
    <x v="0"/>
    <x v="2"/>
    <x v="2"/>
    <x v="33"/>
    <x v="34"/>
    <x v="29"/>
    <x v="0"/>
    <x v="0"/>
    <d v="2025-10-21T00:00:00"/>
    <n v="2"/>
    <n v="1"/>
    <n v="4"/>
    <n v="6"/>
  </r>
  <r>
    <s v="L1147"/>
    <x v="3"/>
    <x v="1"/>
    <x v="12"/>
    <x v="2"/>
    <x v="2"/>
    <x v="2"/>
    <x v="1"/>
    <x v="3"/>
    <m/>
    <m/>
    <m/>
    <m/>
    <m/>
  </r>
  <r>
    <s v="L1148"/>
    <x v="3"/>
    <x v="2"/>
    <x v="21"/>
    <x v="31"/>
    <x v="28"/>
    <x v="1"/>
    <x v="0"/>
    <x v="0"/>
    <d v="2025-11-20T00:00:00"/>
    <n v="4"/>
    <n v="2"/>
    <n v="2"/>
    <n v="5"/>
  </r>
  <r>
    <s v="L1149"/>
    <x v="3"/>
    <x v="0"/>
    <x v="13"/>
    <x v="21"/>
    <x v="30"/>
    <x v="6"/>
    <x v="0"/>
    <x v="0"/>
    <d v="2025-11-12T00:00:00"/>
    <n v="5"/>
    <n v="1"/>
    <n v="4"/>
    <n v="4"/>
  </r>
  <r>
    <s v="L1150"/>
    <x v="0"/>
    <x v="2"/>
    <x v="17"/>
    <x v="21"/>
    <x v="17"/>
    <x v="27"/>
    <x v="0"/>
    <x v="0"/>
    <d v="2025-11-17T00:00:00"/>
    <n v="1"/>
    <n v="5"/>
    <n v="3"/>
    <n v="2"/>
  </r>
  <r>
    <s v="L1151"/>
    <x v="1"/>
    <x v="1"/>
    <x v="30"/>
    <x v="2"/>
    <x v="2"/>
    <x v="2"/>
    <x v="1"/>
    <x v="1"/>
    <m/>
    <m/>
    <m/>
    <m/>
    <m/>
  </r>
  <r>
    <s v="L1152"/>
    <x v="1"/>
    <x v="1"/>
    <x v="30"/>
    <x v="2"/>
    <x v="2"/>
    <x v="2"/>
    <x v="1"/>
    <x v="3"/>
    <m/>
    <m/>
    <m/>
    <m/>
    <m/>
  </r>
  <r>
    <s v="L1153"/>
    <x v="0"/>
    <x v="0"/>
    <x v="21"/>
    <x v="22"/>
    <x v="3"/>
    <x v="32"/>
    <x v="0"/>
    <x v="0"/>
    <d v="2025-11-13T00:00:00"/>
    <n v="1"/>
    <n v="2"/>
    <n v="6"/>
    <n v="7"/>
  </r>
  <r>
    <s v="L1154"/>
    <x v="1"/>
    <x v="1"/>
    <x v="29"/>
    <x v="2"/>
    <x v="2"/>
    <x v="2"/>
    <x v="1"/>
    <x v="1"/>
    <m/>
    <m/>
    <m/>
    <m/>
    <m/>
  </r>
  <r>
    <s v="L1155"/>
    <x v="0"/>
    <x v="2"/>
    <x v="12"/>
    <x v="0"/>
    <x v="0"/>
    <x v="26"/>
    <x v="0"/>
    <x v="0"/>
    <d v="2025-11-17T00:00:00"/>
    <n v="2"/>
    <n v="4"/>
    <n v="4"/>
    <n v="4"/>
  </r>
  <r>
    <s v="L1156"/>
    <x v="1"/>
    <x v="1"/>
    <x v="8"/>
    <x v="2"/>
    <x v="2"/>
    <x v="2"/>
    <x v="1"/>
    <x v="4"/>
    <m/>
    <m/>
    <m/>
    <m/>
    <m/>
  </r>
  <r>
    <s v="L1157"/>
    <x v="2"/>
    <x v="2"/>
    <x v="13"/>
    <x v="30"/>
    <x v="14"/>
    <x v="6"/>
    <x v="0"/>
    <x v="0"/>
    <d v="2025-11-08T00:00:00"/>
    <n v="3"/>
    <n v="4"/>
    <n v="3"/>
    <n v="8"/>
  </r>
  <r>
    <s v="L1158"/>
    <x v="2"/>
    <x v="1"/>
    <x v="0"/>
    <x v="2"/>
    <x v="2"/>
    <x v="2"/>
    <x v="1"/>
    <x v="2"/>
    <m/>
    <m/>
    <m/>
    <m/>
    <m/>
  </r>
  <r>
    <s v="L1159"/>
    <x v="3"/>
    <x v="2"/>
    <x v="3"/>
    <x v="11"/>
    <x v="22"/>
    <x v="11"/>
    <x v="0"/>
    <x v="0"/>
    <d v="2025-11-20T00:00:00"/>
    <n v="2"/>
    <n v="4"/>
    <n v="5"/>
    <n v="5"/>
  </r>
  <r>
    <s v="L1160"/>
    <x v="2"/>
    <x v="0"/>
    <x v="22"/>
    <x v="12"/>
    <x v="0"/>
    <x v="34"/>
    <x v="0"/>
    <x v="0"/>
    <d v="2025-11-15T00:00:00"/>
    <n v="2"/>
    <n v="2"/>
    <n v="6"/>
    <n v="3"/>
  </r>
  <r>
    <s v="L1161"/>
    <x v="2"/>
    <x v="0"/>
    <x v="6"/>
    <x v="22"/>
    <x v="24"/>
    <x v="21"/>
    <x v="0"/>
    <x v="0"/>
    <d v="2025-11-17T00:00:00"/>
    <n v="3"/>
    <n v="3"/>
    <n v="7"/>
    <n v="2"/>
  </r>
  <r>
    <s v="L1162"/>
    <x v="2"/>
    <x v="2"/>
    <x v="7"/>
    <x v="15"/>
    <x v="13"/>
    <x v="6"/>
    <x v="0"/>
    <x v="0"/>
    <d v="2025-10-25T00:00:00"/>
    <n v="3"/>
    <n v="3"/>
    <n v="5"/>
    <n v="7"/>
  </r>
  <r>
    <s v="L1163"/>
    <x v="0"/>
    <x v="2"/>
    <x v="3"/>
    <x v="4"/>
    <x v="22"/>
    <x v="23"/>
    <x v="0"/>
    <x v="0"/>
    <d v="2025-11-29T00:00:00"/>
    <n v="3"/>
    <n v="3"/>
    <n v="6"/>
    <n v="5"/>
  </r>
  <r>
    <s v="L1164"/>
    <x v="2"/>
    <x v="2"/>
    <x v="2"/>
    <x v="29"/>
    <x v="35"/>
    <x v="35"/>
    <x v="0"/>
    <x v="0"/>
    <d v="2025-10-27T00:00:00"/>
    <n v="1"/>
    <n v="1"/>
    <n v="6"/>
    <n v="6"/>
  </r>
  <r>
    <s v="L1165"/>
    <x v="2"/>
    <x v="0"/>
    <x v="23"/>
    <x v="5"/>
    <x v="3"/>
    <x v="15"/>
    <x v="0"/>
    <x v="0"/>
    <d v="2025-11-05T00:00:00"/>
    <n v="1"/>
    <n v="1"/>
    <n v="2"/>
    <n v="2"/>
  </r>
  <r>
    <s v="L1166"/>
    <x v="3"/>
    <x v="0"/>
    <x v="29"/>
    <x v="1"/>
    <x v="1"/>
    <x v="7"/>
    <x v="1"/>
    <x v="3"/>
    <m/>
    <n v="4"/>
    <n v="5"/>
    <n v="6"/>
    <m/>
  </r>
  <r>
    <s v="L1167"/>
    <x v="2"/>
    <x v="2"/>
    <x v="6"/>
    <x v="5"/>
    <x v="24"/>
    <x v="3"/>
    <x v="1"/>
    <x v="5"/>
    <m/>
    <n v="4"/>
    <n v="2"/>
    <n v="2"/>
    <m/>
  </r>
  <r>
    <s v="L1168"/>
    <x v="2"/>
    <x v="0"/>
    <x v="6"/>
    <x v="3"/>
    <x v="16"/>
    <x v="32"/>
    <x v="0"/>
    <x v="0"/>
    <d v="2025-11-08T00:00:00"/>
    <n v="2"/>
    <n v="5"/>
    <n v="4"/>
    <n v="5"/>
  </r>
  <r>
    <s v="L1169"/>
    <x v="1"/>
    <x v="2"/>
    <x v="11"/>
    <x v="7"/>
    <x v="11"/>
    <x v="3"/>
    <x v="0"/>
    <x v="0"/>
    <d v="2025-11-13T00:00:00"/>
    <n v="2"/>
    <n v="1"/>
    <n v="6"/>
    <n v="2"/>
  </r>
  <r>
    <s v="L1170"/>
    <x v="3"/>
    <x v="1"/>
    <x v="1"/>
    <x v="2"/>
    <x v="2"/>
    <x v="2"/>
    <x v="1"/>
    <x v="2"/>
    <m/>
    <m/>
    <m/>
    <m/>
    <m/>
  </r>
  <r>
    <s v="L1171"/>
    <x v="3"/>
    <x v="2"/>
    <x v="14"/>
    <x v="21"/>
    <x v="14"/>
    <x v="14"/>
    <x v="0"/>
    <x v="0"/>
    <d v="2025-10-31T00:00:00"/>
    <n v="4"/>
    <n v="2"/>
    <n v="4"/>
    <n v="1"/>
  </r>
  <r>
    <s v="L1172"/>
    <x v="3"/>
    <x v="2"/>
    <x v="8"/>
    <x v="32"/>
    <x v="19"/>
    <x v="20"/>
    <x v="0"/>
    <x v="0"/>
    <d v="2025-12-07T00:00:00"/>
    <n v="5"/>
    <n v="4"/>
    <n v="6"/>
    <n v="8"/>
  </r>
  <r>
    <s v="L1173"/>
    <x v="3"/>
    <x v="2"/>
    <x v="30"/>
    <x v="26"/>
    <x v="29"/>
    <x v="29"/>
    <x v="0"/>
    <x v="0"/>
    <d v="2025-10-23T00:00:00"/>
    <n v="2"/>
    <n v="2"/>
    <n v="2"/>
    <n v="6"/>
  </r>
  <r>
    <s v="L1174"/>
    <x v="3"/>
    <x v="0"/>
    <x v="17"/>
    <x v="1"/>
    <x v="17"/>
    <x v="31"/>
    <x v="0"/>
    <x v="0"/>
    <d v="2025-11-03T00:00:00"/>
    <n v="5"/>
    <n v="1"/>
    <n v="7"/>
    <n v="6"/>
  </r>
  <r>
    <s v="L1175"/>
    <x v="3"/>
    <x v="1"/>
    <x v="8"/>
    <x v="2"/>
    <x v="2"/>
    <x v="2"/>
    <x v="1"/>
    <x v="5"/>
    <m/>
    <m/>
    <m/>
    <m/>
    <m/>
  </r>
  <r>
    <s v="L1176"/>
    <x v="0"/>
    <x v="0"/>
    <x v="3"/>
    <x v="34"/>
    <x v="9"/>
    <x v="36"/>
    <x v="0"/>
    <x v="0"/>
    <d v="2025-12-08T00:00:00"/>
    <n v="5"/>
    <n v="4"/>
    <n v="5"/>
    <n v="3"/>
  </r>
  <r>
    <s v="L1177"/>
    <x v="2"/>
    <x v="2"/>
    <x v="6"/>
    <x v="22"/>
    <x v="16"/>
    <x v="21"/>
    <x v="0"/>
    <x v="0"/>
    <d v="2025-11-10T00:00:00"/>
    <n v="3"/>
    <n v="4"/>
    <n v="6"/>
    <n v="5"/>
  </r>
  <r>
    <s v="L1178"/>
    <x v="3"/>
    <x v="0"/>
    <x v="7"/>
    <x v="6"/>
    <x v="36"/>
    <x v="30"/>
    <x v="0"/>
    <x v="0"/>
    <d v="2025-10-30T00:00:00"/>
    <n v="1"/>
    <n v="2"/>
    <n v="3"/>
    <n v="9"/>
  </r>
  <r>
    <s v="L1179"/>
    <x v="2"/>
    <x v="0"/>
    <x v="5"/>
    <x v="4"/>
    <x v="22"/>
    <x v="11"/>
    <x v="0"/>
    <x v="0"/>
    <d v="2025-12-07T00:00:00"/>
    <n v="4"/>
    <n v="3"/>
    <n v="5"/>
    <n v="4"/>
  </r>
  <r>
    <s v="L1180"/>
    <x v="2"/>
    <x v="2"/>
    <x v="25"/>
    <x v="26"/>
    <x v="32"/>
    <x v="37"/>
    <x v="0"/>
    <x v="0"/>
    <d v="2025-11-05T00:00:00"/>
    <n v="1"/>
    <n v="1"/>
    <n v="2"/>
    <n v="1"/>
  </r>
  <r>
    <s v="L1181"/>
    <x v="0"/>
    <x v="0"/>
    <x v="27"/>
    <x v="7"/>
    <x v="11"/>
    <x v="7"/>
    <x v="0"/>
    <x v="0"/>
    <d v="2025-11-19T00:00:00"/>
    <n v="4"/>
    <n v="1"/>
    <n v="7"/>
    <n v="4"/>
  </r>
  <r>
    <s v="L1182"/>
    <x v="3"/>
    <x v="1"/>
    <x v="6"/>
    <x v="2"/>
    <x v="2"/>
    <x v="2"/>
    <x v="1"/>
    <x v="2"/>
    <m/>
    <m/>
    <m/>
    <m/>
    <m/>
  </r>
  <r>
    <s v="L1183"/>
    <x v="1"/>
    <x v="2"/>
    <x v="25"/>
    <x v="26"/>
    <x v="36"/>
    <x v="25"/>
    <x v="0"/>
    <x v="0"/>
    <d v="2025-10-24T00:00:00"/>
    <n v="1"/>
    <n v="3"/>
    <n v="7"/>
    <n v="6"/>
  </r>
  <r>
    <s v="L1184"/>
    <x v="0"/>
    <x v="0"/>
    <x v="23"/>
    <x v="18"/>
    <x v="8"/>
    <x v="24"/>
    <x v="0"/>
    <x v="0"/>
    <d v="2025-11-23T00:00:00"/>
    <n v="4"/>
    <n v="5"/>
    <n v="3"/>
    <n v="3"/>
  </r>
  <r>
    <s v="L1185"/>
    <x v="1"/>
    <x v="0"/>
    <x v="0"/>
    <x v="31"/>
    <x v="18"/>
    <x v="24"/>
    <x v="0"/>
    <x v="0"/>
    <d v="2025-11-30T00:00:00"/>
    <n v="1"/>
    <n v="5"/>
    <n v="4"/>
    <n v="2"/>
  </r>
  <r>
    <s v="L1186"/>
    <x v="2"/>
    <x v="0"/>
    <x v="26"/>
    <x v="0"/>
    <x v="26"/>
    <x v="5"/>
    <x v="0"/>
    <x v="0"/>
    <d v="2025-11-12T00:00:00"/>
    <n v="3"/>
    <n v="1"/>
    <n v="2"/>
    <n v="3"/>
  </r>
  <r>
    <s v="L1187"/>
    <x v="2"/>
    <x v="2"/>
    <x v="30"/>
    <x v="15"/>
    <x v="13"/>
    <x v="6"/>
    <x v="0"/>
    <x v="0"/>
    <d v="2025-11-13T00:00:00"/>
    <n v="5"/>
    <n v="3"/>
    <n v="5"/>
    <n v="7"/>
  </r>
  <r>
    <s v="L1188"/>
    <x v="0"/>
    <x v="2"/>
    <x v="13"/>
    <x v="27"/>
    <x v="14"/>
    <x v="14"/>
    <x v="0"/>
    <x v="0"/>
    <d v="2025-11-08T00:00:00"/>
    <n v="4"/>
    <n v="3"/>
    <n v="4"/>
    <n v="9"/>
  </r>
  <r>
    <s v="L1189"/>
    <x v="0"/>
    <x v="1"/>
    <x v="13"/>
    <x v="2"/>
    <x v="2"/>
    <x v="2"/>
    <x v="1"/>
    <x v="2"/>
    <m/>
    <m/>
    <m/>
    <m/>
    <m/>
  </r>
  <r>
    <s v="L1190"/>
    <x v="1"/>
    <x v="1"/>
    <x v="19"/>
    <x v="2"/>
    <x v="2"/>
    <x v="2"/>
    <x v="1"/>
    <x v="1"/>
    <m/>
    <m/>
    <m/>
    <m/>
    <m/>
  </r>
  <r>
    <s v="L1191"/>
    <x v="3"/>
    <x v="0"/>
    <x v="23"/>
    <x v="9"/>
    <x v="8"/>
    <x v="17"/>
    <x v="0"/>
    <x v="0"/>
    <d v="2025-11-16T00:00:00"/>
    <n v="5"/>
    <n v="4"/>
    <n v="4"/>
    <n v="10"/>
  </r>
  <r>
    <s v="L1192"/>
    <x v="1"/>
    <x v="0"/>
    <x v="8"/>
    <x v="8"/>
    <x v="19"/>
    <x v="36"/>
    <x v="1"/>
    <x v="3"/>
    <m/>
    <n v="4"/>
    <n v="5"/>
    <n v="2"/>
    <m/>
  </r>
  <r>
    <s v="L1193"/>
    <x v="0"/>
    <x v="0"/>
    <x v="29"/>
    <x v="1"/>
    <x v="1"/>
    <x v="3"/>
    <x v="0"/>
    <x v="0"/>
    <d v="2025-11-04T00:00:00"/>
    <n v="4"/>
    <n v="5"/>
    <n v="5"/>
    <n v="5"/>
  </r>
  <r>
    <s v="L1194"/>
    <x v="1"/>
    <x v="0"/>
    <x v="25"/>
    <x v="13"/>
    <x v="13"/>
    <x v="28"/>
    <x v="0"/>
    <x v="0"/>
    <d v="2025-10-25T00:00:00"/>
    <n v="3"/>
    <n v="4"/>
    <n v="2"/>
    <n v="3"/>
  </r>
  <r>
    <s v="L1195"/>
    <x v="0"/>
    <x v="0"/>
    <x v="24"/>
    <x v="27"/>
    <x v="30"/>
    <x v="25"/>
    <x v="0"/>
    <x v="0"/>
    <d v="2025-11-03T00:00:00"/>
    <n v="1"/>
    <n v="2"/>
    <n v="3"/>
    <n v="9"/>
  </r>
  <r>
    <s v="L1196"/>
    <x v="1"/>
    <x v="2"/>
    <x v="7"/>
    <x v="30"/>
    <x v="21"/>
    <x v="14"/>
    <x v="0"/>
    <x v="0"/>
    <d v="2025-11-01T00:00:00"/>
    <n v="4"/>
    <n v="5"/>
    <n v="3"/>
    <n v="10"/>
  </r>
  <r>
    <s v="L1197"/>
    <x v="0"/>
    <x v="1"/>
    <x v="21"/>
    <x v="2"/>
    <x v="2"/>
    <x v="2"/>
    <x v="1"/>
    <x v="3"/>
    <m/>
    <m/>
    <m/>
    <m/>
    <m/>
  </r>
  <r>
    <s v="L1198"/>
    <x v="0"/>
    <x v="0"/>
    <x v="22"/>
    <x v="25"/>
    <x v="15"/>
    <x v="13"/>
    <x v="0"/>
    <x v="0"/>
    <d v="2025-11-22T00:00:00"/>
    <n v="1"/>
    <n v="4"/>
    <n v="7"/>
    <n v="8"/>
  </r>
  <r>
    <s v="L1199"/>
    <x v="0"/>
    <x v="1"/>
    <x v="4"/>
    <x v="2"/>
    <x v="2"/>
    <x v="2"/>
    <x v="1"/>
    <x v="2"/>
    <m/>
    <m/>
    <m/>
    <m/>
    <m/>
  </r>
  <r>
    <s v="L1200"/>
    <x v="3"/>
    <x v="2"/>
    <x v="18"/>
    <x v="18"/>
    <x v="26"/>
    <x v="17"/>
    <x v="0"/>
    <x v="0"/>
    <d v="2025-11-24T00:00:00"/>
    <n v="3"/>
    <n v="3"/>
    <n v="6"/>
    <n v="6"/>
  </r>
  <r>
    <s v="L1201"/>
    <x v="1"/>
    <x v="2"/>
    <x v="18"/>
    <x v="31"/>
    <x v="28"/>
    <x v="24"/>
    <x v="0"/>
    <x v="0"/>
    <d v="2025-11-27T00:00:00"/>
    <n v="2"/>
    <n v="2"/>
    <n v="7"/>
    <n v="2"/>
  </r>
  <r>
    <s v="L1202"/>
    <x v="1"/>
    <x v="2"/>
    <x v="19"/>
    <x v="4"/>
    <x v="12"/>
    <x v="18"/>
    <x v="0"/>
    <x v="0"/>
    <d v="2025-12-02T00:00:00"/>
    <n v="5"/>
    <n v="1"/>
    <n v="4"/>
    <n v="2"/>
  </r>
  <r>
    <s v="L1203"/>
    <x v="1"/>
    <x v="0"/>
    <x v="18"/>
    <x v="9"/>
    <x v="18"/>
    <x v="0"/>
    <x v="0"/>
    <x v="0"/>
    <d v="2025-11-21T00:00:00"/>
    <n v="4"/>
    <n v="3"/>
    <n v="7"/>
    <n v="9"/>
  </r>
  <r>
    <s v="L1204"/>
    <x v="0"/>
    <x v="1"/>
    <x v="24"/>
    <x v="2"/>
    <x v="2"/>
    <x v="2"/>
    <x v="1"/>
    <x v="4"/>
    <m/>
    <m/>
    <m/>
    <m/>
    <m/>
  </r>
  <r>
    <s v="L1205"/>
    <x v="1"/>
    <x v="2"/>
    <x v="22"/>
    <x v="28"/>
    <x v="15"/>
    <x v="18"/>
    <x v="0"/>
    <x v="0"/>
    <d v="2025-11-24T00:00:00"/>
    <n v="3"/>
    <n v="2"/>
    <n v="6"/>
    <n v="2"/>
  </r>
  <r>
    <s v="L1206"/>
    <x v="1"/>
    <x v="1"/>
    <x v="16"/>
    <x v="2"/>
    <x v="2"/>
    <x v="2"/>
    <x v="1"/>
    <x v="4"/>
    <m/>
    <m/>
    <m/>
    <m/>
    <m/>
  </r>
  <r>
    <s v="L1207"/>
    <x v="0"/>
    <x v="0"/>
    <x v="27"/>
    <x v="1"/>
    <x v="11"/>
    <x v="7"/>
    <x v="0"/>
    <x v="0"/>
    <d v="2025-11-13T00:00:00"/>
    <n v="1"/>
    <n v="4"/>
    <n v="7"/>
    <n v="7"/>
  </r>
  <r>
    <s v="L1208"/>
    <x v="2"/>
    <x v="1"/>
    <x v="11"/>
    <x v="2"/>
    <x v="2"/>
    <x v="2"/>
    <x v="1"/>
    <x v="5"/>
    <m/>
    <m/>
    <m/>
    <m/>
    <m/>
  </r>
  <r>
    <s v="L1209"/>
    <x v="0"/>
    <x v="2"/>
    <x v="20"/>
    <x v="35"/>
    <x v="9"/>
    <x v="36"/>
    <x v="0"/>
    <x v="0"/>
    <d v="2025-11-28T00:00:00"/>
    <n v="4"/>
    <n v="3"/>
    <n v="5"/>
    <n v="9"/>
  </r>
  <r>
    <s v="L1210"/>
    <x v="1"/>
    <x v="1"/>
    <x v="11"/>
    <x v="2"/>
    <x v="2"/>
    <x v="2"/>
    <x v="1"/>
    <x v="5"/>
    <m/>
    <m/>
    <m/>
    <m/>
    <m/>
  </r>
  <r>
    <s v="L1211"/>
    <x v="0"/>
    <x v="0"/>
    <x v="29"/>
    <x v="17"/>
    <x v="21"/>
    <x v="14"/>
    <x v="1"/>
    <x v="1"/>
    <m/>
    <n v="1"/>
    <n v="2"/>
    <n v="3"/>
    <m/>
  </r>
  <r>
    <s v="L1212"/>
    <x v="2"/>
    <x v="2"/>
    <x v="3"/>
    <x v="11"/>
    <x v="31"/>
    <x v="13"/>
    <x v="0"/>
    <x v="0"/>
    <d v="2025-11-19T00:00:00"/>
    <n v="2"/>
    <n v="1"/>
    <n v="6"/>
    <n v="4"/>
  </r>
  <r>
    <s v="L1213"/>
    <x v="0"/>
    <x v="2"/>
    <x v="23"/>
    <x v="18"/>
    <x v="26"/>
    <x v="21"/>
    <x v="0"/>
    <x v="0"/>
    <d v="2025-11-09T00:00:00"/>
    <n v="4"/>
    <n v="3"/>
    <n v="3"/>
    <n v="2"/>
  </r>
  <r>
    <s v="L1214"/>
    <x v="1"/>
    <x v="1"/>
    <x v="4"/>
    <x v="2"/>
    <x v="2"/>
    <x v="2"/>
    <x v="1"/>
    <x v="2"/>
    <m/>
    <m/>
    <m/>
    <m/>
    <m/>
  </r>
  <r>
    <s v="L1215"/>
    <x v="2"/>
    <x v="1"/>
    <x v="29"/>
    <x v="2"/>
    <x v="2"/>
    <x v="2"/>
    <x v="1"/>
    <x v="5"/>
    <m/>
    <m/>
    <m/>
    <m/>
    <m/>
  </r>
  <r>
    <s v="L1216"/>
    <x v="3"/>
    <x v="2"/>
    <x v="23"/>
    <x v="9"/>
    <x v="18"/>
    <x v="9"/>
    <x v="0"/>
    <x v="0"/>
    <d v="2025-11-21T00:00:00"/>
    <n v="5"/>
    <n v="3"/>
    <n v="3"/>
    <n v="0"/>
  </r>
  <r>
    <s v="L1217"/>
    <x v="1"/>
    <x v="0"/>
    <x v="18"/>
    <x v="9"/>
    <x v="0"/>
    <x v="17"/>
    <x v="1"/>
    <x v="5"/>
    <m/>
    <n v="4"/>
    <n v="5"/>
    <n v="3"/>
    <m/>
  </r>
  <r>
    <s v="L1218"/>
    <x v="2"/>
    <x v="1"/>
    <x v="30"/>
    <x v="2"/>
    <x v="2"/>
    <x v="2"/>
    <x v="1"/>
    <x v="2"/>
    <m/>
    <m/>
    <m/>
    <m/>
    <m/>
  </r>
  <r>
    <s v="L1219"/>
    <x v="2"/>
    <x v="1"/>
    <x v="18"/>
    <x v="2"/>
    <x v="2"/>
    <x v="2"/>
    <x v="1"/>
    <x v="1"/>
    <m/>
    <m/>
    <m/>
    <m/>
    <m/>
  </r>
  <r>
    <s v="L1220"/>
    <x v="3"/>
    <x v="1"/>
    <x v="8"/>
    <x v="2"/>
    <x v="2"/>
    <x v="2"/>
    <x v="1"/>
    <x v="5"/>
    <m/>
    <m/>
    <m/>
    <m/>
    <m/>
  </r>
  <r>
    <s v="L1221"/>
    <x v="0"/>
    <x v="0"/>
    <x v="15"/>
    <x v="23"/>
    <x v="31"/>
    <x v="26"/>
    <x v="0"/>
    <x v="0"/>
    <d v="2025-11-30T00:00:00"/>
    <n v="5"/>
    <n v="2"/>
    <n v="2"/>
    <n v="3"/>
  </r>
  <r>
    <s v="L1222"/>
    <x v="0"/>
    <x v="0"/>
    <x v="7"/>
    <x v="6"/>
    <x v="36"/>
    <x v="38"/>
    <x v="0"/>
    <x v="0"/>
    <d v="2025-11-09T00:00:00"/>
    <n v="1"/>
    <n v="2"/>
    <n v="6"/>
    <n v="1"/>
  </r>
  <r>
    <s v="L1223"/>
    <x v="1"/>
    <x v="0"/>
    <x v="8"/>
    <x v="8"/>
    <x v="19"/>
    <x v="10"/>
    <x v="0"/>
    <x v="0"/>
    <d v="2025-12-08T00:00:00"/>
    <n v="4"/>
    <n v="5"/>
    <n v="4"/>
    <n v="7"/>
  </r>
  <r>
    <s v="L1224"/>
    <x v="3"/>
    <x v="0"/>
    <x v="22"/>
    <x v="28"/>
    <x v="12"/>
    <x v="4"/>
    <x v="0"/>
    <x v="0"/>
    <d v="2025-11-21T00:00:00"/>
    <n v="3"/>
    <n v="4"/>
    <n v="6"/>
    <n v="3"/>
  </r>
  <r>
    <s v="L1225"/>
    <x v="0"/>
    <x v="0"/>
    <x v="28"/>
    <x v="21"/>
    <x v="23"/>
    <x v="27"/>
    <x v="1"/>
    <x v="1"/>
    <m/>
    <n v="3"/>
    <n v="4"/>
    <n v="4"/>
    <m/>
  </r>
  <r>
    <s v="L1226"/>
    <x v="3"/>
    <x v="0"/>
    <x v="0"/>
    <x v="18"/>
    <x v="8"/>
    <x v="0"/>
    <x v="1"/>
    <x v="3"/>
    <m/>
    <n v="2"/>
    <n v="5"/>
    <n v="6"/>
    <m/>
  </r>
  <r>
    <s v="L1227"/>
    <x v="0"/>
    <x v="2"/>
    <x v="28"/>
    <x v="21"/>
    <x v="21"/>
    <x v="19"/>
    <x v="0"/>
    <x v="0"/>
    <d v="2025-10-30T00:00:00"/>
    <n v="3"/>
    <n v="3"/>
    <n v="6"/>
    <n v="4"/>
  </r>
  <r>
    <s v="L1228"/>
    <x v="2"/>
    <x v="1"/>
    <x v="17"/>
    <x v="2"/>
    <x v="2"/>
    <x v="2"/>
    <x v="1"/>
    <x v="1"/>
    <m/>
    <m/>
    <m/>
    <m/>
    <m/>
  </r>
  <r>
    <s v="L1229"/>
    <x v="0"/>
    <x v="0"/>
    <x v="26"/>
    <x v="9"/>
    <x v="27"/>
    <x v="5"/>
    <x v="0"/>
    <x v="0"/>
    <d v="2025-11-18T00:00:00"/>
    <n v="2"/>
    <n v="1"/>
    <n v="3"/>
    <n v="2"/>
  </r>
  <r>
    <s v="L1230"/>
    <x v="3"/>
    <x v="0"/>
    <x v="25"/>
    <x v="26"/>
    <x v="5"/>
    <x v="28"/>
    <x v="0"/>
    <x v="0"/>
    <d v="2025-10-22T00:00:00"/>
    <n v="1"/>
    <n v="4"/>
    <n v="4"/>
    <n v="2"/>
  </r>
  <r>
    <s v="L1231"/>
    <x v="2"/>
    <x v="0"/>
    <x v="14"/>
    <x v="17"/>
    <x v="14"/>
    <x v="19"/>
    <x v="0"/>
    <x v="0"/>
    <d v="2025-11-11T00:00:00"/>
    <n v="5"/>
    <n v="1"/>
    <n v="7"/>
    <n v="8"/>
  </r>
  <r>
    <s v="L1232"/>
    <x v="2"/>
    <x v="0"/>
    <x v="24"/>
    <x v="27"/>
    <x v="30"/>
    <x v="6"/>
    <x v="1"/>
    <x v="4"/>
    <m/>
    <n v="1"/>
    <n v="2"/>
    <n v="4"/>
    <m/>
  </r>
  <r>
    <s v="L1233"/>
    <x v="2"/>
    <x v="2"/>
    <x v="14"/>
    <x v="17"/>
    <x v="21"/>
    <x v="16"/>
    <x v="0"/>
    <x v="0"/>
    <d v="2025-10-29T00:00:00"/>
    <n v="5"/>
    <n v="2"/>
    <n v="4"/>
    <n v="9"/>
  </r>
  <r>
    <s v="L1234"/>
    <x v="3"/>
    <x v="2"/>
    <x v="21"/>
    <x v="18"/>
    <x v="18"/>
    <x v="26"/>
    <x v="0"/>
    <x v="0"/>
    <d v="2025-11-21T00:00:00"/>
    <n v="5"/>
    <n v="4"/>
    <n v="6"/>
    <n v="4"/>
  </r>
  <r>
    <s v="L1235"/>
    <x v="1"/>
    <x v="2"/>
    <x v="25"/>
    <x v="6"/>
    <x v="5"/>
    <x v="28"/>
    <x v="0"/>
    <x v="0"/>
    <d v="2025-11-11T00:00:00"/>
    <n v="2"/>
    <n v="3"/>
    <n v="4"/>
    <n v="7"/>
  </r>
  <r>
    <s v="L1236"/>
    <x v="1"/>
    <x v="2"/>
    <x v="14"/>
    <x v="27"/>
    <x v="30"/>
    <x v="16"/>
    <x v="0"/>
    <x v="0"/>
    <d v="2025-11-15T00:00:00"/>
    <n v="3"/>
    <n v="2"/>
    <n v="6"/>
    <n v="7"/>
  </r>
  <r>
    <s v="L1237"/>
    <x v="1"/>
    <x v="0"/>
    <x v="2"/>
    <x v="26"/>
    <x v="32"/>
    <x v="28"/>
    <x v="0"/>
    <x v="0"/>
    <d v="2025-11-06T00:00:00"/>
    <n v="3"/>
    <n v="1"/>
    <n v="7"/>
    <n v="0"/>
  </r>
  <r>
    <s v="L1238"/>
    <x v="3"/>
    <x v="0"/>
    <x v="4"/>
    <x v="24"/>
    <x v="1"/>
    <x v="12"/>
    <x v="0"/>
    <x v="0"/>
    <d v="2025-11-06T00:00:00"/>
    <n v="2"/>
    <n v="3"/>
    <n v="2"/>
    <n v="1"/>
  </r>
  <r>
    <s v="L1239"/>
    <x v="2"/>
    <x v="2"/>
    <x v="11"/>
    <x v="7"/>
    <x v="3"/>
    <x v="3"/>
    <x v="1"/>
    <x v="4"/>
    <m/>
    <n v="2"/>
    <n v="4"/>
    <n v="3"/>
    <m/>
  </r>
  <r>
    <s v="L1240"/>
    <x v="1"/>
    <x v="0"/>
    <x v="12"/>
    <x v="9"/>
    <x v="26"/>
    <x v="24"/>
    <x v="0"/>
    <x v="0"/>
    <d v="2025-11-13T00:00:00"/>
    <n v="1"/>
    <n v="2"/>
    <n v="5"/>
    <n v="9"/>
  </r>
  <r>
    <s v="L1241"/>
    <x v="3"/>
    <x v="2"/>
    <x v="18"/>
    <x v="31"/>
    <x v="26"/>
    <x v="5"/>
    <x v="0"/>
    <x v="0"/>
    <d v="2025-11-07T00:00:00"/>
    <n v="2"/>
    <n v="4"/>
    <n v="2"/>
    <n v="1"/>
  </r>
  <r>
    <s v="L1242"/>
    <x v="1"/>
    <x v="1"/>
    <x v="6"/>
    <x v="2"/>
    <x v="2"/>
    <x v="2"/>
    <x v="1"/>
    <x v="1"/>
    <m/>
    <m/>
    <m/>
    <m/>
    <m/>
  </r>
  <r>
    <s v="L1243"/>
    <x v="0"/>
    <x v="1"/>
    <x v="29"/>
    <x v="2"/>
    <x v="2"/>
    <x v="2"/>
    <x v="1"/>
    <x v="4"/>
    <m/>
    <m/>
    <m/>
    <m/>
    <m/>
  </r>
  <r>
    <s v="L1244"/>
    <x v="1"/>
    <x v="2"/>
    <x v="30"/>
    <x v="6"/>
    <x v="5"/>
    <x v="28"/>
    <x v="0"/>
    <x v="0"/>
    <d v="2025-10-28T00:00:00"/>
    <n v="3"/>
    <n v="3"/>
    <n v="4"/>
    <n v="6"/>
  </r>
  <r>
    <s v="L1245"/>
    <x v="1"/>
    <x v="0"/>
    <x v="24"/>
    <x v="21"/>
    <x v="21"/>
    <x v="22"/>
    <x v="1"/>
    <x v="3"/>
    <m/>
    <n v="2"/>
    <n v="3"/>
    <n v="7"/>
    <m/>
  </r>
  <r>
    <s v="L1246"/>
    <x v="2"/>
    <x v="2"/>
    <x v="29"/>
    <x v="20"/>
    <x v="17"/>
    <x v="27"/>
    <x v="0"/>
    <x v="0"/>
    <d v="2025-11-02T00:00:00"/>
    <n v="2"/>
    <n v="3"/>
    <n v="3"/>
    <n v="6"/>
  </r>
  <r>
    <s v="L1247"/>
    <x v="3"/>
    <x v="0"/>
    <x v="12"/>
    <x v="28"/>
    <x v="10"/>
    <x v="23"/>
    <x v="0"/>
    <x v="0"/>
    <d v="2025-12-09T00:00:00"/>
    <n v="5"/>
    <n v="5"/>
    <n v="7"/>
    <n v="4"/>
  </r>
  <r>
    <s v="L1248"/>
    <x v="2"/>
    <x v="0"/>
    <x v="29"/>
    <x v="20"/>
    <x v="25"/>
    <x v="22"/>
    <x v="0"/>
    <x v="0"/>
    <d v="2025-11-08T00:00:00"/>
    <n v="2"/>
    <n v="5"/>
    <n v="3"/>
    <n v="7"/>
  </r>
  <r>
    <s v="L1249"/>
    <x v="2"/>
    <x v="2"/>
    <x v="12"/>
    <x v="9"/>
    <x v="27"/>
    <x v="5"/>
    <x v="0"/>
    <x v="0"/>
    <d v="2025-11-09T00:00:00"/>
    <n v="1"/>
    <n v="1"/>
    <n v="3"/>
    <n v="3"/>
  </r>
  <r>
    <s v="L1250"/>
    <x v="2"/>
    <x v="0"/>
    <x v="3"/>
    <x v="11"/>
    <x v="10"/>
    <x v="18"/>
    <x v="0"/>
    <x v="0"/>
    <d v="2025-11-30T00:00:00"/>
    <n v="2"/>
    <n v="3"/>
    <n v="3"/>
    <n v="2"/>
  </r>
  <r>
    <s v="L1251"/>
    <x v="2"/>
    <x v="2"/>
    <x v="11"/>
    <x v="22"/>
    <x v="24"/>
    <x v="21"/>
    <x v="0"/>
    <x v="0"/>
    <d v="2025-11-11T00:00:00"/>
    <n v="4"/>
    <n v="3"/>
    <n v="7"/>
    <n v="6"/>
  </r>
  <r>
    <s v="L1252"/>
    <x v="2"/>
    <x v="2"/>
    <x v="25"/>
    <x v="15"/>
    <x v="37"/>
    <x v="38"/>
    <x v="0"/>
    <x v="0"/>
    <d v="2025-11-01T00:00:00"/>
    <n v="4"/>
    <n v="2"/>
    <n v="4"/>
    <n v="10"/>
  </r>
  <r>
    <s v="L1253"/>
    <x v="1"/>
    <x v="0"/>
    <x v="26"/>
    <x v="12"/>
    <x v="8"/>
    <x v="24"/>
    <x v="0"/>
    <x v="0"/>
    <d v="2025-11-22T00:00:00"/>
    <n v="5"/>
    <n v="1"/>
    <n v="3"/>
    <n v="4"/>
  </r>
  <r>
    <s v="L1254"/>
    <x v="2"/>
    <x v="0"/>
    <x v="24"/>
    <x v="19"/>
    <x v="23"/>
    <x v="12"/>
    <x v="0"/>
    <x v="0"/>
    <d v="2025-11-15T00:00:00"/>
    <n v="5"/>
    <n v="1"/>
    <n v="7"/>
    <n v="5"/>
  </r>
  <r>
    <s v="L1255"/>
    <x v="2"/>
    <x v="0"/>
    <x v="20"/>
    <x v="35"/>
    <x v="38"/>
    <x v="39"/>
    <x v="1"/>
    <x v="2"/>
    <m/>
    <n v="4"/>
    <n v="4"/>
    <n v="5"/>
    <m/>
  </r>
  <r>
    <s v="L1256"/>
    <x v="3"/>
    <x v="0"/>
    <x v="17"/>
    <x v="1"/>
    <x v="25"/>
    <x v="31"/>
    <x v="0"/>
    <x v="0"/>
    <d v="2025-11-16T00:00:00"/>
    <n v="5"/>
    <n v="3"/>
    <n v="5"/>
    <n v="3"/>
  </r>
  <r>
    <s v="L1257"/>
    <x v="0"/>
    <x v="1"/>
    <x v="19"/>
    <x v="2"/>
    <x v="2"/>
    <x v="2"/>
    <x v="1"/>
    <x v="4"/>
    <m/>
    <m/>
    <m/>
    <m/>
    <m/>
  </r>
  <r>
    <s v="L1258"/>
    <x v="1"/>
    <x v="2"/>
    <x v="19"/>
    <x v="4"/>
    <x v="10"/>
    <x v="18"/>
    <x v="1"/>
    <x v="4"/>
    <m/>
    <n v="5"/>
    <n v="2"/>
    <n v="3"/>
    <m/>
  </r>
  <r>
    <s v="L1259"/>
    <x v="1"/>
    <x v="0"/>
    <x v="0"/>
    <x v="9"/>
    <x v="8"/>
    <x v="0"/>
    <x v="0"/>
    <x v="0"/>
    <d v="2025-11-21T00:00:00"/>
    <n v="3"/>
    <n v="4"/>
    <n v="6"/>
    <n v="4"/>
  </r>
  <r>
    <s v="L1260"/>
    <x v="1"/>
    <x v="0"/>
    <x v="23"/>
    <x v="31"/>
    <x v="18"/>
    <x v="0"/>
    <x v="0"/>
    <x v="0"/>
    <d v="2025-11-15T00:00:00"/>
    <n v="3"/>
    <n v="5"/>
    <n v="7"/>
    <n v="2"/>
  </r>
  <r>
    <s v="L1261"/>
    <x v="2"/>
    <x v="0"/>
    <x v="26"/>
    <x v="9"/>
    <x v="18"/>
    <x v="24"/>
    <x v="0"/>
    <x v="0"/>
    <d v="2025-11-30T00:00:00"/>
    <n v="2"/>
    <n v="3"/>
    <n v="4"/>
    <n v="9"/>
  </r>
  <r>
    <s v="L1262"/>
    <x v="2"/>
    <x v="1"/>
    <x v="19"/>
    <x v="2"/>
    <x v="2"/>
    <x v="2"/>
    <x v="1"/>
    <x v="1"/>
    <m/>
    <m/>
    <m/>
    <m/>
    <m/>
  </r>
  <r>
    <s v="L1263"/>
    <x v="2"/>
    <x v="0"/>
    <x v="20"/>
    <x v="35"/>
    <x v="4"/>
    <x v="36"/>
    <x v="0"/>
    <x v="0"/>
    <d v="2025-12-08T00:00:00"/>
    <n v="4"/>
    <n v="1"/>
    <n v="7"/>
    <n v="5"/>
  </r>
  <r>
    <s v="L1264"/>
    <x v="3"/>
    <x v="0"/>
    <x v="28"/>
    <x v="30"/>
    <x v="30"/>
    <x v="14"/>
    <x v="0"/>
    <x v="0"/>
    <d v="2025-11-07T00:00:00"/>
    <n v="1"/>
    <n v="3"/>
    <n v="5"/>
    <n v="7"/>
  </r>
  <r>
    <s v="L1265"/>
    <x v="0"/>
    <x v="0"/>
    <x v="4"/>
    <x v="3"/>
    <x v="3"/>
    <x v="1"/>
    <x v="0"/>
    <x v="0"/>
    <d v="2025-11-10T00:00:00"/>
    <n v="4"/>
    <n v="3"/>
    <n v="5"/>
    <n v="5"/>
  </r>
  <r>
    <s v="L1266"/>
    <x v="2"/>
    <x v="1"/>
    <x v="7"/>
    <x v="2"/>
    <x v="2"/>
    <x v="2"/>
    <x v="1"/>
    <x v="3"/>
    <m/>
    <m/>
    <m/>
    <m/>
    <m/>
  </r>
  <r>
    <s v="L1267"/>
    <x v="0"/>
    <x v="1"/>
    <x v="21"/>
    <x v="2"/>
    <x v="2"/>
    <x v="2"/>
    <x v="1"/>
    <x v="2"/>
    <m/>
    <m/>
    <m/>
    <m/>
    <m/>
  </r>
  <r>
    <s v="L1268"/>
    <x v="3"/>
    <x v="0"/>
    <x v="24"/>
    <x v="20"/>
    <x v="25"/>
    <x v="31"/>
    <x v="0"/>
    <x v="0"/>
    <d v="2025-11-12T00:00:00"/>
    <n v="4"/>
    <n v="5"/>
    <n v="5"/>
    <n v="6"/>
  </r>
  <r>
    <s v="L1269"/>
    <x v="1"/>
    <x v="0"/>
    <x v="0"/>
    <x v="9"/>
    <x v="26"/>
    <x v="5"/>
    <x v="0"/>
    <x v="0"/>
    <d v="2025-11-19T00:00:00"/>
    <n v="3"/>
    <n v="2"/>
    <n v="2"/>
    <n v="1"/>
  </r>
  <r>
    <s v="L1270"/>
    <x v="2"/>
    <x v="2"/>
    <x v="13"/>
    <x v="30"/>
    <x v="13"/>
    <x v="16"/>
    <x v="0"/>
    <x v="0"/>
    <d v="2025-11-07T00:00:00"/>
    <n v="3"/>
    <n v="2"/>
    <n v="7"/>
    <n v="5"/>
  </r>
  <r>
    <s v="L1271"/>
    <x v="0"/>
    <x v="2"/>
    <x v="20"/>
    <x v="8"/>
    <x v="9"/>
    <x v="11"/>
    <x v="0"/>
    <x v="0"/>
    <d v="2025-11-23T00:00:00"/>
    <n v="5"/>
    <n v="2"/>
    <n v="2"/>
    <n v="6"/>
  </r>
  <r>
    <s v="L1272"/>
    <x v="0"/>
    <x v="0"/>
    <x v="17"/>
    <x v="21"/>
    <x v="23"/>
    <x v="19"/>
    <x v="0"/>
    <x v="0"/>
    <d v="2025-11-12T00:00:00"/>
    <n v="1"/>
    <n v="4"/>
    <n v="5"/>
    <n v="9"/>
  </r>
  <r>
    <s v="L1273"/>
    <x v="2"/>
    <x v="2"/>
    <x v="5"/>
    <x v="11"/>
    <x v="12"/>
    <x v="4"/>
    <x v="0"/>
    <x v="0"/>
    <d v="2025-11-18T00:00:00"/>
    <n v="3"/>
    <n v="2"/>
    <n v="6"/>
    <n v="2"/>
  </r>
  <r>
    <s v="L1274"/>
    <x v="1"/>
    <x v="0"/>
    <x v="13"/>
    <x v="21"/>
    <x v="23"/>
    <x v="12"/>
    <x v="0"/>
    <x v="0"/>
    <d v="2025-11-08T00:00:00"/>
    <n v="5"/>
    <n v="4"/>
    <n v="7"/>
    <n v="3"/>
  </r>
  <r>
    <s v="L1275"/>
    <x v="1"/>
    <x v="2"/>
    <x v="25"/>
    <x v="26"/>
    <x v="37"/>
    <x v="38"/>
    <x v="0"/>
    <x v="0"/>
    <d v="2025-11-06T00:00:00"/>
    <n v="1"/>
    <n v="5"/>
    <n v="4"/>
    <n v="10"/>
  </r>
  <r>
    <s v="L1276"/>
    <x v="1"/>
    <x v="0"/>
    <x v="30"/>
    <x v="6"/>
    <x v="5"/>
    <x v="6"/>
    <x v="0"/>
    <x v="0"/>
    <d v="2025-11-08T00:00:00"/>
    <n v="3"/>
    <n v="3"/>
    <n v="7"/>
    <n v="8"/>
  </r>
  <r>
    <s v="L1277"/>
    <x v="3"/>
    <x v="0"/>
    <x v="14"/>
    <x v="21"/>
    <x v="23"/>
    <x v="27"/>
    <x v="0"/>
    <x v="0"/>
    <d v="2025-11-05T00:00:00"/>
    <n v="4"/>
    <n v="4"/>
    <n v="4"/>
    <n v="1"/>
  </r>
  <r>
    <s v="L1278"/>
    <x v="0"/>
    <x v="1"/>
    <x v="19"/>
    <x v="2"/>
    <x v="2"/>
    <x v="2"/>
    <x v="1"/>
    <x v="1"/>
    <m/>
    <m/>
    <m/>
    <m/>
    <m/>
  </r>
  <r>
    <s v="L1279"/>
    <x v="0"/>
    <x v="2"/>
    <x v="29"/>
    <x v="1"/>
    <x v="1"/>
    <x v="3"/>
    <x v="1"/>
    <x v="1"/>
    <m/>
    <n v="4"/>
    <n v="5"/>
    <n v="5"/>
    <m/>
  </r>
  <r>
    <s v="L1280"/>
    <x v="0"/>
    <x v="0"/>
    <x v="18"/>
    <x v="16"/>
    <x v="27"/>
    <x v="9"/>
    <x v="0"/>
    <x v="0"/>
    <d v="2025-11-16T00:00:00"/>
    <n v="1"/>
    <n v="4"/>
    <n v="5"/>
    <n v="8"/>
  </r>
  <r>
    <s v="L1281"/>
    <x v="3"/>
    <x v="1"/>
    <x v="15"/>
    <x v="2"/>
    <x v="2"/>
    <x v="2"/>
    <x v="1"/>
    <x v="3"/>
    <m/>
    <m/>
    <m/>
    <m/>
    <m/>
  </r>
  <r>
    <s v="L1282"/>
    <x v="0"/>
    <x v="2"/>
    <x v="5"/>
    <x v="28"/>
    <x v="10"/>
    <x v="13"/>
    <x v="1"/>
    <x v="2"/>
    <m/>
    <n v="1"/>
    <n v="5"/>
    <n v="4"/>
    <m/>
  </r>
  <r>
    <s v="L1283"/>
    <x v="3"/>
    <x v="1"/>
    <x v="23"/>
    <x v="2"/>
    <x v="2"/>
    <x v="2"/>
    <x v="1"/>
    <x v="3"/>
    <m/>
    <m/>
    <m/>
    <m/>
    <m/>
  </r>
  <r>
    <s v="L1284"/>
    <x v="1"/>
    <x v="0"/>
    <x v="20"/>
    <x v="34"/>
    <x v="4"/>
    <x v="8"/>
    <x v="0"/>
    <x v="0"/>
    <d v="2025-11-28T00:00:00"/>
    <n v="3"/>
    <n v="2"/>
    <n v="6"/>
    <n v="4"/>
  </r>
  <r>
    <s v="L1285"/>
    <x v="2"/>
    <x v="0"/>
    <x v="29"/>
    <x v="19"/>
    <x v="17"/>
    <x v="16"/>
    <x v="0"/>
    <x v="0"/>
    <d v="2025-11-14T00:00:00"/>
    <n v="3"/>
    <n v="2"/>
    <n v="2"/>
    <n v="9"/>
  </r>
  <r>
    <s v="L1286"/>
    <x v="0"/>
    <x v="1"/>
    <x v="11"/>
    <x v="2"/>
    <x v="2"/>
    <x v="2"/>
    <x v="1"/>
    <x v="2"/>
    <m/>
    <m/>
    <m/>
    <m/>
    <m/>
  </r>
  <r>
    <s v="L1287"/>
    <x v="0"/>
    <x v="2"/>
    <x v="7"/>
    <x v="6"/>
    <x v="13"/>
    <x v="16"/>
    <x v="0"/>
    <x v="0"/>
    <d v="2025-10-28T00:00:00"/>
    <n v="1"/>
    <n v="5"/>
    <n v="7"/>
    <n v="2"/>
  </r>
  <r>
    <s v="L1288"/>
    <x v="1"/>
    <x v="0"/>
    <x v="11"/>
    <x v="24"/>
    <x v="25"/>
    <x v="19"/>
    <x v="1"/>
    <x v="3"/>
    <m/>
    <n v="1"/>
    <n v="1"/>
    <n v="2"/>
    <m/>
  </r>
  <r>
    <s v="L1289"/>
    <x v="2"/>
    <x v="1"/>
    <x v="12"/>
    <x v="2"/>
    <x v="2"/>
    <x v="2"/>
    <x v="1"/>
    <x v="1"/>
    <m/>
    <m/>
    <m/>
    <m/>
    <m/>
  </r>
  <r>
    <s v="L1290"/>
    <x v="3"/>
    <x v="2"/>
    <x v="29"/>
    <x v="14"/>
    <x v="6"/>
    <x v="32"/>
    <x v="0"/>
    <x v="0"/>
    <d v="2025-11-10T00:00:00"/>
    <n v="5"/>
    <n v="5"/>
    <n v="7"/>
    <n v="4"/>
  </r>
  <r>
    <s v="L1291"/>
    <x v="2"/>
    <x v="0"/>
    <x v="12"/>
    <x v="28"/>
    <x v="12"/>
    <x v="13"/>
    <x v="0"/>
    <x v="0"/>
    <d v="2025-11-19T00:00:00"/>
    <n v="5"/>
    <n v="4"/>
    <n v="5"/>
    <n v="1"/>
  </r>
  <r>
    <s v="L1292"/>
    <x v="1"/>
    <x v="1"/>
    <x v="27"/>
    <x v="2"/>
    <x v="2"/>
    <x v="2"/>
    <x v="1"/>
    <x v="1"/>
    <m/>
    <m/>
    <m/>
    <m/>
    <m/>
  </r>
  <r>
    <s v="L1293"/>
    <x v="1"/>
    <x v="2"/>
    <x v="8"/>
    <x v="32"/>
    <x v="39"/>
    <x v="40"/>
    <x v="0"/>
    <x v="0"/>
    <d v="2025-11-29T00:00:00"/>
    <n v="5"/>
    <n v="5"/>
    <n v="7"/>
    <n v="6"/>
  </r>
  <r>
    <s v="L1294"/>
    <x v="2"/>
    <x v="1"/>
    <x v="17"/>
    <x v="2"/>
    <x v="2"/>
    <x v="2"/>
    <x v="1"/>
    <x v="5"/>
    <m/>
    <m/>
    <m/>
    <m/>
    <m/>
  </r>
  <r>
    <s v="L1295"/>
    <x v="3"/>
    <x v="0"/>
    <x v="16"/>
    <x v="16"/>
    <x v="28"/>
    <x v="24"/>
    <x v="1"/>
    <x v="4"/>
    <m/>
    <n v="4"/>
    <n v="3"/>
    <n v="7"/>
    <m/>
  </r>
  <r>
    <s v="L1296"/>
    <x v="3"/>
    <x v="0"/>
    <x v="21"/>
    <x v="31"/>
    <x v="16"/>
    <x v="9"/>
    <x v="0"/>
    <x v="0"/>
    <d v="2025-11-20T00:00:00"/>
    <n v="4"/>
    <n v="1"/>
    <n v="7"/>
    <n v="6"/>
  </r>
  <r>
    <s v="L1297"/>
    <x v="0"/>
    <x v="0"/>
    <x v="6"/>
    <x v="16"/>
    <x v="26"/>
    <x v="9"/>
    <x v="0"/>
    <x v="0"/>
    <d v="2025-11-26T00:00:00"/>
    <n v="5"/>
    <n v="5"/>
    <n v="4"/>
    <n v="10"/>
  </r>
  <r>
    <s v="L1298"/>
    <x v="3"/>
    <x v="2"/>
    <x v="11"/>
    <x v="5"/>
    <x v="3"/>
    <x v="15"/>
    <x v="0"/>
    <x v="0"/>
    <d v="2025-11-15T00:00:00"/>
    <n v="5"/>
    <n v="1"/>
    <n v="2"/>
    <n v="10"/>
  </r>
  <r>
    <s v="L1299"/>
    <x v="2"/>
    <x v="1"/>
    <x v="25"/>
    <x v="2"/>
    <x v="2"/>
    <x v="2"/>
    <x v="1"/>
    <x v="3"/>
    <m/>
    <m/>
    <m/>
    <m/>
    <m/>
  </r>
  <r>
    <s v="L1300"/>
    <x v="1"/>
    <x v="1"/>
    <x v="18"/>
    <x v="2"/>
    <x v="2"/>
    <x v="2"/>
    <x v="1"/>
    <x v="5"/>
    <m/>
    <m/>
    <m/>
    <m/>
    <m/>
  </r>
  <r>
    <s v="L1301"/>
    <x v="0"/>
    <x v="0"/>
    <x v="30"/>
    <x v="33"/>
    <x v="34"/>
    <x v="30"/>
    <x v="0"/>
    <x v="0"/>
    <d v="2025-11-07T00:00:00"/>
    <n v="1"/>
    <n v="1"/>
    <n v="6"/>
    <n v="8"/>
  </r>
  <r>
    <s v="L1302"/>
    <x v="0"/>
    <x v="0"/>
    <x v="10"/>
    <x v="34"/>
    <x v="38"/>
    <x v="39"/>
    <x v="0"/>
    <x v="0"/>
    <d v="2025-11-29T00:00:00"/>
    <n v="4"/>
    <n v="5"/>
    <n v="5"/>
    <n v="5"/>
  </r>
  <r>
    <s v="L1303"/>
    <x v="1"/>
    <x v="0"/>
    <x v="4"/>
    <x v="22"/>
    <x v="28"/>
    <x v="32"/>
    <x v="0"/>
    <x v="0"/>
    <d v="2025-11-23T00:00:00"/>
    <n v="5"/>
    <n v="5"/>
    <n v="3"/>
    <n v="6"/>
  </r>
  <r>
    <s v="L1304"/>
    <x v="3"/>
    <x v="0"/>
    <x v="15"/>
    <x v="25"/>
    <x v="8"/>
    <x v="26"/>
    <x v="0"/>
    <x v="0"/>
    <d v="2025-11-13T00:00:00"/>
    <n v="2"/>
    <n v="2"/>
    <n v="5"/>
    <n v="1"/>
  </r>
  <r>
    <s v="L1305"/>
    <x v="1"/>
    <x v="0"/>
    <x v="1"/>
    <x v="1"/>
    <x v="1"/>
    <x v="31"/>
    <x v="0"/>
    <x v="0"/>
    <d v="2025-11-13T00:00:00"/>
    <n v="3"/>
    <n v="5"/>
    <n v="3"/>
    <n v="1"/>
  </r>
  <r>
    <s v="L1306"/>
    <x v="3"/>
    <x v="0"/>
    <x v="18"/>
    <x v="0"/>
    <x v="15"/>
    <x v="34"/>
    <x v="0"/>
    <x v="0"/>
    <d v="2025-11-30T00:00:00"/>
    <n v="5"/>
    <n v="5"/>
    <n v="5"/>
    <n v="8"/>
  </r>
  <r>
    <s v="L1307"/>
    <x v="1"/>
    <x v="0"/>
    <x v="17"/>
    <x v="19"/>
    <x v="17"/>
    <x v="19"/>
    <x v="0"/>
    <x v="0"/>
    <d v="2025-11-11T00:00:00"/>
    <n v="4"/>
    <n v="2"/>
    <n v="4"/>
    <n v="9"/>
  </r>
  <r>
    <s v="L1308"/>
    <x v="2"/>
    <x v="0"/>
    <x v="2"/>
    <x v="13"/>
    <x v="5"/>
    <x v="28"/>
    <x v="0"/>
    <x v="0"/>
    <d v="2025-11-08T00:00:00"/>
    <n v="5"/>
    <n v="2"/>
    <n v="4"/>
    <n v="6"/>
  </r>
  <r>
    <s v="L1309"/>
    <x v="3"/>
    <x v="0"/>
    <x v="25"/>
    <x v="6"/>
    <x v="5"/>
    <x v="28"/>
    <x v="0"/>
    <x v="0"/>
    <d v="2025-11-06T00:00:00"/>
    <n v="2"/>
    <n v="3"/>
    <n v="4"/>
    <n v="5"/>
  </r>
  <r>
    <s v="L1310"/>
    <x v="2"/>
    <x v="2"/>
    <x v="24"/>
    <x v="27"/>
    <x v="23"/>
    <x v="27"/>
    <x v="0"/>
    <x v="0"/>
    <d v="2025-11-15T00:00:00"/>
    <n v="1"/>
    <n v="5"/>
    <n v="4"/>
    <n v="3"/>
  </r>
  <r>
    <s v="L1311"/>
    <x v="0"/>
    <x v="2"/>
    <x v="8"/>
    <x v="8"/>
    <x v="33"/>
    <x v="33"/>
    <x v="0"/>
    <x v="0"/>
    <d v="2025-12-01T00:00:00"/>
    <n v="4"/>
    <n v="4"/>
    <n v="6"/>
    <n v="6"/>
  </r>
  <r>
    <s v="L1312"/>
    <x v="1"/>
    <x v="0"/>
    <x v="26"/>
    <x v="18"/>
    <x v="28"/>
    <x v="9"/>
    <x v="0"/>
    <x v="0"/>
    <d v="2025-11-24T00:00:00"/>
    <n v="1"/>
    <n v="1"/>
    <n v="6"/>
    <n v="6"/>
  </r>
  <r>
    <s v="L1313"/>
    <x v="0"/>
    <x v="0"/>
    <x v="5"/>
    <x v="11"/>
    <x v="12"/>
    <x v="34"/>
    <x v="0"/>
    <x v="0"/>
    <d v="2025-11-23T00:00:00"/>
    <n v="3"/>
    <n v="2"/>
    <n v="3"/>
    <n v="6"/>
  </r>
  <r>
    <s v="L1314"/>
    <x v="0"/>
    <x v="0"/>
    <x v="3"/>
    <x v="23"/>
    <x v="22"/>
    <x v="23"/>
    <x v="0"/>
    <x v="0"/>
    <d v="2025-11-21T00:00:00"/>
    <n v="1"/>
    <n v="5"/>
    <n v="6"/>
    <n v="4"/>
  </r>
  <r>
    <s v="L1315"/>
    <x v="0"/>
    <x v="0"/>
    <x v="23"/>
    <x v="9"/>
    <x v="8"/>
    <x v="26"/>
    <x v="0"/>
    <x v="0"/>
    <d v="2025-11-24T00:00:00"/>
    <n v="5"/>
    <n v="4"/>
    <n v="5"/>
    <n v="5"/>
  </r>
  <r>
    <s v="L1316"/>
    <x v="0"/>
    <x v="0"/>
    <x v="23"/>
    <x v="16"/>
    <x v="24"/>
    <x v="1"/>
    <x v="0"/>
    <x v="0"/>
    <d v="2025-11-06T00:00:00"/>
    <n v="2"/>
    <n v="1"/>
    <n v="4"/>
    <n v="9"/>
  </r>
  <r>
    <s v="L1317"/>
    <x v="1"/>
    <x v="0"/>
    <x v="8"/>
    <x v="10"/>
    <x v="9"/>
    <x v="10"/>
    <x v="1"/>
    <x v="4"/>
    <m/>
    <n v="1"/>
    <n v="5"/>
    <n v="7"/>
    <m/>
  </r>
  <r>
    <s v="L1318"/>
    <x v="0"/>
    <x v="0"/>
    <x v="2"/>
    <x v="33"/>
    <x v="36"/>
    <x v="35"/>
    <x v="0"/>
    <x v="0"/>
    <d v="2025-11-04T00:00:00"/>
    <n v="2"/>
    <n v="4"/>
    <n v="2"/>
    <n v="6"/>
  </r>
  <r>
    <s v="L1319"/>
    <x v="1"/>
    <x v="0"/>
    <x v="22"/>
    <x v="23"/>
    <x v="15"/>
    <x v="17"/>
    <x v="1"/>
    <x v="3"/>
    <m/>
    <n v="4"/>
    <n v="1"/>
    <n v="2"/>
    <m/>
  </r>
  <r>
    <s v="L1320"/>
    <x v="1"/>
    <x v="0"/>
    <x v="26"/>
    <x v="25"/>
    <x v="15"/>
    <x v="17"/>
    <x v="0"/>
    <x v="0"/>
    <d v="2025-11-29T00:00:00"/>
    <n v="4"/>
    <n v="4"/>
    <n v="2"/>
    <n v="4"/>
  </r>
  <r>
    <s v="L1321"/>
    <x v="2"/>
    <x v="1"/>
    <x v="5"/>
    <x v="2"/>
    <x v="2"/>
    <x v="2"/>
    <x v="1"/>
    <x v="2"/>
    <m/>
    <m/>
    <m/>
    <m/>
    <m/>
  </r>
  <r>
    <s v="L1322"/>
    <x v="3"/>
    <x v="0"/>
    <x v="17"/>
    <x v="1"/>
    <x v="20"/>
    <x v="15"/>
    <x v="1"/>
    <x v="4"/>
    <m/>
    <n v="5"/>
    <n v="2"/>
    <n v="7"/>
    <m/>
  </r>
  <r>
    <s v="L1323"/>
    <x v="3"/>
    <x v="2"/>
    <x v="23"/>
    <x v="9"/>
    <x v="0"/>
    <x v="0"/>
    <x v="0"/>
    <x v="0"/>
    <d v="2025-11-29T00:00:00"/>
    <n v="5"/>
    <n v="5"/>
    <n v="5"/>
    <n v="2"/>
  </r>
  <r>
    <s v="L1324"/>
    <x v="1"/>
    <x v="2"/>
    <x v="30"/>
    <x v="15"/>
    <x v="30"/>
    <x v="38"/>
    <x v="1"/>
    <x v="1"/>
    <m/>
    <n v="5"/>
    <n v="4"/>
    <n v="2"/>
    <m/>
  </r>
  <r>
    <s v="L1325"/>
    <x v="2"/>
    <x v="2"/>
    <x v="22"/>
    <x v="12"/>
    <x v="31"/>
    <x v="26"/>
    <x v="0"/>
    <x v="0"/>
    <d v="2025-11-30T00:00:00"/>
    <n v="2"/>
    <n v="4"/>
    <n v="2"/>
    <n v="10"/>
  </r>
  <r>
    <s v="L1326"/>
    <x v="1"/>
    <x v="0"/>
    <x v="22"/>
    <x v="28"/>
    <x v="10"/>
    <x v="18"/>
    <x v="0"/>
    <x v="0"/>
    <d v="2025-12-04T00:00:00"/>
    <n v="3"/>
    <n v="5"/>
    <n v="3"/>
    <n v="6"/>
  </r>
  <r>
    <s v="L1327"/>
    <x v="1"/>
    <x v="0"/>
    <x v="14"/>
    <x v="27"/>
    <x v="13"/>
    <x v="6"/>
    <x v="0"/>
    <x v="0"/>
    <d v="2025-10-29T00:00:00"/>
    <n v="3"/>
    <n v="1"/>
    <n v="5"/>
    <n v="7"/>
  </r>
  <r>
    <s v="L1328"/>
    <x v="1"/>
    <x v="0"/>
    <x v="6"/>
    <x v="22"/>
    <x v="28"/>
    <x v="21"/>
    <x v="0"/>
    <x v="0"/>
    <d v="2025-11-11T00:00:00"/>
    <n v="3"/>
    <n v="5"/>
    <n v="5"/>
    <n v="3"/>
  </r>
  <r>
    <s v="L1329"/>
    <x v="2"/>
    <x v="0"/>
    <x v="16"/>
    <x v="16"/>
    <x v="27"/>
    <x v="32"/>
    <x v="0"/>
    <x v="0"/>
    <d v="2025-11-20T00:00:00"/>
    <n v="4"/>
    <n v="4"/>
    <n v="2"/>
    <n v="2"/>
  </r>
  <r>
    <s v="L1330"/>
    <x v="3"/>
    <x v="2"/>
    <x v="0"/>
    <x v="0"/>
    <x v="8"/>
    <x v="26"/>
    <x v="0"/>
    <x v="0"/>
    <d v="2025-11-17T00:00:00"/>
    <n v="4"/>
    <n v="3"/>
    <n v="5"/>
    <n v="1"/>
  </r>
  <r>
    <s v="L1331"/>
    <x v="2"/>
    <x v="0"/>
    <x v="11"/>
    <x v="3"/>
    <x v="1"/>
    <x v="31"/>
    <x v="0"/>
    <x v="0"/>
    <d v="2025-11-06T00:00:00"/>
    <n v="3"/>
    <n v="1"/>
    <n v="3"/>
    <n v="0"/>
  </r>
  <r>
    <s v="L1332"/>
    <x v="0"/>
    <x v="2"/>
    <x v="20"/>
    <x v="8"/>
    <x v="33"/>
    <x v="20"/>
    <x v="0"/>
    <x v="0"/>
    <d v="2025-12-01T00:00:00"/>
    <n v="5"/>
    <n v="4"/>
    <n v="7"/>
    <n v="2"/>
  </r>
  <r>
    <s v="L1333"/>
    <x v="2"/>
    <x v="0"/>
    <x v="17"/>
    <x v="21"/>
    <x v="21"/>
    <x v="14"/>
    <x v="0"/>
    <x v="0"/>
    <d v="2025-11-01T00:00:00"/>
    <n v="1"/>
    <n v="3"/>
    <n v="3"/>
    <n v="2"/>
  </r>
  <r>
    <s v="L1334"/>
    <x v="2"/>
    <x v="2"/>
    <x v="14"/>
    <x v="27"/>
    <x v="13"/>
    <x v="16"/>
    <x v="0"/>
    <x v="0"/>
    <d v="2025-10-31T00:00:00"/>
    <n v="3"/>
    <n v="1"/>
    <n v="7"/>
    <n v="1"/>
  </r>
  <r>
    <s v="L1335"/>
    <x v="2"/>
    <x v="1"/>
    <x v="23"/>
    <x v="2"/>
    <x v="2"/>
    <x v="2"/>
    <x v="1"/>
    <x v="5"/>
    <m/>
    <m/>
    <m/>
    <m/>
    <m/>
  </r>
  <r>
    <s v="L1336"/>
    <x v="2"/>
    <x v="2"/>
    <x v="4"/>
    <x v="14"/>
    <x v="25"/>
    <x v="12"/>
    <x v="0"/>
    <x v="0"/>
    <d v="2025-11-01T00:00:00"/>
    <n v="1"/>
    <n v="2"/>
    <n v="4"/>
    <n v="7"/>
  </r>
  <r>
    <s v="L1337"/>
    <x v="3"/>
    <x v="1"/>
    <x v="0"/>
    <x v="2"/>
    <x v="2"/>
    <x v="2"/>
    <x v="1"/>
    <x v="4"/>
    <m/>
    <m/>
    <m/>
    <m/>
    <m/>
  </r>
  <r>
    <s v="L1338"/>
    <x v="0"/>
    <x v="0"/>
    <x v="5"/>
    <x v="11"/>
    <x v="4"/>
    <x v="4"/>
    <x v="0"/>
    <x v="0"/>
    <d v="2025-11-30T00:00:00"/>
    <n v="3"/>
    <n v="5"/>
    <n v="3"/>
    <n v="3"/>
  </r>
  <r>
    <s v="L1339"/>
    <x v="3"/>
    <x v="1"/>
    <x v="6"/>
    <x v="2"/>
    <x v="2"/>
    <x v="2"/>
    <x v="1"/>
    <x v="4"/>
    <m/>
    <m/>
    <m/>
    <m/>
    <m/>
  </r>
  <r>
    <s v="L1340"/>
    <x v="3"/>
    <x v="0"/>
    <x v="25"/>
    <x v="26"/>
    <x v="32"/>
    <x v="35"/>
    <x v="0"/>
    <x v="0"/>
    <d v="2025-10-21T00:00:00"/>
    <n v="1"/>
    <n v="1"/>
    <n v="4"/>
    <n v="10"/>
  </r>
  <r>
    <s v="L1341"/>
    <x v="2"/>
    <x v="0"/>
    <x v="6"/>
    <x v="16"/>
    <x v="24"/>
    <x v="3"/>
    <x v="0"/>
    <x v="0"/>
    <d v="2025-11-16T00:00:00"/>
    <n v="5"/>
    <n v="1"/>
    <n v="2"/>
    <n v="1"/>
  </r>
  <r>
    <s v="L1342"/>
    <x v="1"/>
    <x v="0"/>
    <x v="9"/>
    <x v="24"/>
    <x v="6"/>
    <x v="32"/>
    <x v="0"/>
    <x v="0"/>
    <d v="2025-11-12T00:00:00"/>
    <n v="4"/>
    <n v="4"/>
    <n v="7"/>
    <n v="4"/>
  </r>
  <r>
    <s v="L1343"/>
    <x v="1"/>
    <x v="0"/>
    <x v="4"/>
    <x v="7"/>
    <x v="6"/>
    <x v="3"/>
    <x v="0"/>
    <x v="0"/>
    <d v="2025-11-23T00:00:00"/>
    <n v="3"/>
    <n v="3"/>
    <n v="4"/>
    <n v="8"/>
  </r>
  <r>
    <s v="L1344"/>
    <x v="3"/>
    <x v="0"/>
    <x v="1"/>
    <x v="1"/>
    <x v="17"/>
    <x v="19"/>
    <x v="0"/>
    <x v="0"/>
    <d v="2025-11-02T00:00:00"/>
    <n v="3"/>
    <n v="1"/>
    <n v="4"/>
    <n v="3"/>
  </r>
  <r>
    <s v="L1345"/>
    <x v="3"/>
    <x v="0"/>
    <x v="1"/>
    <x v="24"/>
    <x v="3"/>
    <x v="15"/>
    <x v="0"/>
    <x v="0"/>
    <d v="2025-11-21T00:00:00"/>
    <n v="5"/>
    <n v="5"/>
    <n v="2"/>
    <n v="6"/>
  </r>
  <r>
    <s v="L1346"/>
    <x v="2"/>
    <x v="0"/>
    <x v="26"/>
    <x v="9"/>
    <x v="27"/>
    <x v="21"/>
    <x v="0"/>
    <x v="0"/>
    <d v="2025-11-16T00:00:00"/>
    <n v="2"/>
    <n v="1"/>
    <n v="4"/>
    <n v="4"/>
  </r>
  <r>
    <s v="L1347"/>
    <x v="3"/>
    <x v="2"/>
    <x v="7"/>
    <x v="15"/>
    <x v="5"/>
    <x v="6"/>
    <x v="0"/>
    <x v="0"/>
    <d v="2025-11-04T00:00:00"/>
    <n v="3"/>
    <n v="1"/>
    <n v="7"/>
    <n v="8"/>
  </r>
  <r>
    <s v="L1348"/>
    <x v="2"/>
    <x v="0"/>
    <x v="3"/>
    <x v="23"/>
    <x v="10"/>
    <x v="23"/>
    <x v="0"/>
    <x v="0"/>
    <d v="2025-11-21T00:00:00"/>
    <n v="1"/>
    <n v="4"/>
    <n v="7"/>
    <n v="4"/>
  </r>
  <r>
    <s v="L1349"/>
    <x v="1"/>
    <x v="0"/>
    <x v="14"/>
    <x v="17"/>
    <x v="14"/>
    <x v="6"/>
    <x v="0"/>
    <x v="0"/>
    <d v="2025-10-27T00:00:00"/>
    <n v="5"/>
    <n v="1"/>
    <n v="3"/>
    <n v="6"/>
  </r>
  <r>
    <s v="L1350"/>
    <x v="1"/>
    <x v="0"/>
    <x v="1"/>
    <x v="19"/>
    <x v="20"/>
    <x v="27"/>
    <x v="1"/>
    <x v="1"/>
    <m/>
    <n v="2"/>
    <n v="3"/>
    <n v="2"/>
    <m/>
  </r>
  <r>
    <s v="L1351"/>
    <x v="0"/>
    <x v="0"/>
    <x v="4"/>
    <x v="7"/>
    <x v="3"/>
    <x v="1"/>
    <x v="1"/>
    <x v="3"/>
    <m/>
    <n v="3"/>
    <n v="4"/>
    <n v="5"/>
    <m/>
  </r>
  <r>
    <s v="L1352"/>
    <x v="1"/>
    <x v="0"/>
    <x v="12"/>
    <x v="25"/>
    <x v="8"/>
    <x v="34"/>
    <x v="0"/>
    <x v="0"/>
    <d v="2025-11-26T00:00:00"/>
    <n v="3"/>
    <n v="2"/>
    <n v="7"/>
    <n v="5"/>
  </r>
  <r>
    <s v="L1353"/>
    <x v="3"/>
    <x v="1"/>
    <x v="6"/>
    <x v="2"/>
    <x v="2"/>
    <x v="2"/>
    <x v="1"/>
    <x v="2"/>
    <m/>
    <m/>
    <m/>
    <m/>
    <m/>
  </r>
  <r>
    <s v="L1354"/>
    <x v="1"/>
    <x v="2"/>
    <x v="29"/>
    <x v="1"/>
    <x v="20"/>
    <x v="22"/>
    <x v="0"/>
    <x v="0"/>
    <d v="2025-11-16T00:00:00"/>
    <n v="4"/>
    <n v="2"/>
    <n v="4"/>
    <n v="2"/>
  </r>
  <r>
    <s v="L1355"/>
    <x v="2"/>
    <x v="0"/>
    <x v="26"/>
    <x v="9"/>
    <x v="8"/>
    <x v="34"/>
    <x v="0"/>
    <x v="0"/>
    <d v="2025-11-26T00:00:00"/>
    <n v="2"/>
    <n v="4"/>
    <n v="7"/>
    <n v="3"/>
  </r>
  <r>
    <s v="L1356"/>
    <x v="1"/>
    <x v="0"/>
    <x v="8"/>
    <x v="32"/>
    <x v="33"/>
    <x v="20"/>
    <x v="0"/>
    <x v="0"/>
    <d v="2025-12-12T00:00:00"/>
    <n v="5"/>
    <n v="3"/>
    <n v="7"/>
    <n v="10"/>
  </r>
  <r>
    <s v="L1357"/>
    <x v="0"/>
    <x v="0"/>
    <x v="27"/>
    <x v="1"/>
    <x v="11"/>
    <x v="12"/>
    <x v="0"/>
    <x v="0"/>
    <d v="2025-11-10T00:00:00"/>
    <n v="1"/>
    <n v="4"/>
    <n v="3"/>
    <n v="3"/>
  </r>
  <r>
    <s v="L1358"/>
    <x v="1"/>
    <x v="1"/>
    <x v="5"/>
    <x v="2"/>
    <x v="2"/>
    <x v="2"/>
    <x v="1"/>
    <x v="1"/>
    <m/>
    <m/>
    <m/>
    <m/>
    <m/>
  </r>
  <r>
    <s v="L1359"/>
    <x v="2"/>
    <x v="2"/>
    <x v="22"/>
    <x v="28"/>
    <x v="12"/>
    <x v="13"/>
    <x v="0"/>
    <x v="0"/>
    <d v="2025-11-24T00:00:00"/>
    <n v="3"/>
    <n v="4"/>
    <n v="5"/>
    <n v="5"/>
  </r>
  <r>
    <s v="L1360"/>
    <x v="2"/>
    <x v="0"/>
    <x v="21"/>
    <x v="18"/>
    <x v="18"/>
    <x v="0"/>
    <x v="0"/>
    <x v="0"/>
    <d v="2025-11-29T00:00:00"/>
    <n v="5"/>
    <n v="4"/>
    <n v="7"/>
    <n v="8"/>
  </r>
  <r>
    <s v="L1361"/>
    <x v="3"/>
    <x v="0"/>
    <x v="30"/>
    <x v="13"/>
    <x v="13"/>
    <x v="28"/>
    <x v="0"/>
    <x v="0"/>
    <d v="2025-11-05T00:00:00"/>
    <n v="4"/>
    <n v="4"/>
    <n v="2"/>
    <n v="0"/>
  </r>
  <r>
    <s v="L1362"/>
    <x v="1"/>
    <x v="0"/>
    <x v="11"/>
    <x v="3"/>
    <x v="1"/>
    <x v="1"/>
    <x v="0"/>
    <x v="0"/>
    <d v="2025-11-05T00:00:00"/>
    <n v="3"/>
    <n v="1"/>
    <n v="7"/>
    <n v="1"/>
  </r>
  <r>
    <s v="L1363"/>
    <x v="2"/>
    <x v="0"/>
    <x v="25"/>
    <x v="6"/>
    <x v="13"/>
    <x v="28"/>
    <x v="0"/>
    <x v="0"/>
    <d v="2025-11-10T00:00:00"/>
    <n v="2"/>
    <n v="5"/>
    <n v="2"/>
    <n v="4"/>
  </r>
  <r>
    <s v="L1364"/>
    <x v="0"/>
    <x v="0"/>
    <x v="1"/>
    <x v="24"/>
    <x v="11"/>
    <x v="22"/>
    <x v="0"/>
    <x v="0"/>
    <d v="2025-11-17T00:00:00"/>
    <n v="5"/>
    <n v="2"/>
    <n v="2"/>
    <n v="5"/>
  </r>
  <r>
    <s v="L1365"/>
    <x v="3"/>
    <x v="0"/>
    <x v="17"/>
    <x v="21"/>
    <x v="21"/>
    <x v="14"/>
    <x v="0"/>
    <x v="0"/>
    <d v="2025-11-11T00:00:00"/>
    <n v="1"/>
    <n v="3"/>
    <n v="3"/>
    <n v="10"/>
  </r>
  <r>
    <s v="L1366"/>
    <x v="0"/>
    <x v="0"/>
    <x v="1"/>
    <x v="14"/>
    <x v="20"/>
    <x v="12"/>
    <x v="0"/>
    <x v="0"/>
    <d v="2025-11-13T00:00:00"/>
    <n v="4"/>
    <n v="1"/>
    <n v="5"/>
    <n v="3"/>
  </r>
  <r>
    <s v="L1367"/>
    <x v="1"/>
    <x v="2"/>
    <x v="7"/>
    <x v="27"/>
    <x v="30"/>
    <x v="38"/>
    <x v="1"/>
    <x v="2"/>
    <m/>
    <n v="5"/>
    <n v="2"/>
    <n v="2"/>
    <m/>
  </r>
  <r>
    <s v="L1368"/>
    <x v="1"/>
    <x v="0"/>
    <x v="22"/>
    <x v="28"/>
    <x v="10"/>
    <x v="18"/>
    <x v="0"/>
    <x v="0"/>
    <d v="2025-11-18T00:00:00"/>
    <n v="3"/>
    <n v="5"/>
    <n v="3"/>
    <n v="10"/>
  </r>
  <r>
    <s v="L1369"/>
    <x v="1"/>
    <x v="2"/>
    <x v="27"/>
    <x v="1"/>
    <x v="11"/>
    <x v="3"/>
    <x v="0"/>
    <x v="0"/>
    <d v="2025-11-16T00:00:00"/>
    <n v="1"/>
    <n v="4"/>
    <n v="6"/>
    <n v="4"/>
  </r>
  <r>
    <s v="L1370"/>
    <x v="3"/>
    <x v="0"/>
    <x v="3"/>
    <x v="4"/>
    <x v="7"/>
    <x v="11"/>
    <x v="0"/>
    <x v="0"/>
    <d v="2025-11-22T00:00:00"/>
    <n v="3"/>
    <n v="5"/>
    <n v="3"/>
    <n v="7"/>
  </r>
  <r>
    <s v="L1371"/>
    <x v="2"/>
    <x v="0"/>
    <x v="16"/>
    <x v="5"/>
    <x v="24"/>
    <x v="5"/>
    <x v="0"/>
    <x v="0"/>
    <d v="2025-11-11T00:00:00"/>
    <n v="3"/>
    <n v="2"/>
    <n v="6"/>
    <n v="1"/>
  </r>
  <r>
    <s v="L1372"/>
    <x v="3"/>
    <x v="0"/>
    <x v="5"/>
    <x v="23"/>
    <x v="31"/>
    <x v="4"/>
    <x v="0"/>
    <x v="0"/>
    <d v="2025-12-05T00:00:00"/>
    <n v="2"/>
    <n v="2"/>
    <n v="7"/>
    <n v="5"/>
  </r>
  <r>
    <s v="L1373"/>
    <x v="0"/>
    <x v="0"/>
    <x v="2"/>
    <x v="33"/>
    <x v="34"/>
    <x v="35"/>
    <x v="0"/>
    <x v="0"/>
    <d v="2025-11-06T00:00:00"/>
    <n v="2"/>
    <n v="1"/>
    <n v="5"/>
    <n v="2"/>
  </r>
  <r>
    <s v="L1374"/>
    <x v="3"/>
    <x v="2"/>
    <x v="26"/>
    <x v="0"/>
    <x v="26"/>
    <x v="5"/>
    <x v="0"/>
    <x v="0"/>
    <d v="2025-11-25T00:00:00"/>
    <n v="3"/>
    <n v="1"/>
    <n v="2"/>
    <n v="9"/>
  </r>
  <r>
    <s v="L1375"/>
    <x v="0"/>
    <x v="0"/>
    <x v="3"/>
    <x v="10"/>
    <x v="4"/>
    <x v="13"/>
    <x v="1"/>
    <x v="3"/>
    <m/>
    <n v="4"/>
    <n v="3"/>
    <n v="2"/>
    <m/>
  </r>
  <r>
    <s v="L1376"/>
    <x v="3"/>
    <x v="0"/>
    <x v="21"/>
    <x v="5"/>
    <x v="28"/>
    <x v="24"/>
    <x v="0"/>
    <x v="0"/>
    <d v="2025-11-13T00:00:00"/>
    <n v="2"/>
    <n v="4"/>
    <n v="7"/>
    <n v="3"/>
  </r>
  <r>
    <s v="L1377"/>
    <x v="2"/>
    <x v="0"/>
    <x v="11"/>
    <x v="7"/>
    <x v="24"/>
    <x v="1"/>
    <x v="0"/>
    <x v="0"/>
    <d v="2025-11-08T00:00:00"/>
    <n v="2"/>
    <n v="5"/>
    <n v="4"/>
    <n v="9"/>
  </r>
  <r>
    <s v="L1378"/>
    <x v="0"/>
    <x v="1"/>
    <x v="4"/>
    <x v="2"/>
    <x v="2"/>
    <x v="2"/>
    <x v="1"/>
    <x v="4"/>
    <m/>
    <m/>
    <m/>
    <m/>
    <m/>
  </r>
  <r>
    <s v="L1379"/>
    <x v="1"/>
    <x v="2"/>
    <x v="30"/>
    <x v="26"/>
    <x v="5"/>
    <x v="30"/>
    <x v="0"/>
    <x v="0"/>
    <d v="2025-11-07T00:00:00"/>
    <n v="2"/>
    <n v="4"/>
    <n v="2"/>
    <n v="10"/>
  </r>
  <r>
    <s v="L1380"/>
    <x v="1"/>
    <x v="0"/>
    <x v="28"/>
    <x v="27"/>
    <x v="23"/>
    <x v="19"/>
    <x v="0"/>
    <x v="0"/>
    <d v="2025-11-01T00:00:00"/>
    <n v="2"/>
    <n v="5"/>
    <n v="5"/>
    <n v="1"/>
  </r>
  <r>
    <s v="L1381"/>
    <x v="3"/>
    <x v="0"/>
    <x v="16"/>
    <x v="3"/>
    <x v="24"/>
    <x v="21"/>
    <x v="0"/>
    <x v="0"/>
    <d v="2025-11-17T00:00:00"/>
    <n v="1"/>
    <n v="4"/>
    <n v="7"/>
    <n v="8"/>
  </r>
  <r>
    <s v="L1382"/>
    <x v="1"/>
    <x v="0"/>
    <x v="9"/>
    <x v="14"/>
    <x v="25"/>
    <x v="22"/>
    <x v="0"/>
    <x v="0"/>
    <d v="2025-11-16T00:00:00"/>
    <n v="3"/>
    <n v="2"/>
    <n v="3"/>
    <n v="4"/>
  </r>
  <r>
    <s v="L1383"/>
    <x v="0"/>
    <x v="2"/>
    <x v="18"/>
    <x v="16"/>
    <x v="16"/>
    <x v="5"/>
    <x v="0"/>
    <x v="0"/>
    <d v="2025-11-18T00:00:00"/>
    <n v="1"/>
    <n v="2"/>
    <n v="5"/>
    <n v="9"/>
  </r>
  <r>
    <s v="L1384"/>
    <x v="1"/>
    <x v="2"/>
    <x v="22"/>
    <x v="11"/>
    <x v="22"/>
    <x v="18"/>
    <x v="1"/>
    <x v="2"/>
    <m/>
    <n v="5"/>
    <n v="4"/>
    <n v="2"/>
    <m/>
  </r>
  <r>
    <s v="L1385"/>
    <x v="2"/>
    <x v="1"/>
    <x v="6"/>
    <x v="2"/>
    <x v="2"/>
    <x v="2"/>
    <x v="1"/>
    <x v="5"/>
    <m/>
    <m/>
    <m/>
    <m/>
    <m/>
  </r>
  <r>
    <s v="L1386"/>
    <x v="2"/>
    <x v="0"/>
    <x v="0"/>
    <x v="25"/>
    <x v="0"/>
    <x v="17"/>
    <x v="0"/>
    <x v="0"/>
    <d v="2025-11-24T00:00:00"/>
    <n v="5"/>
    <n v="3"/>
    <n v="3"/>
    <n v="5"/>
  </r>
  <r>
    <s v="L1387"/>
    <x v="3"/>
    <x v="0"/>
    <x v="11"/>
    <x v="5"/>
    <x v="24"/>
    <x v="32"/>
    <x v="1"/>
    <x v="5"/>
    <m/>
    <n v="5"/>
    <n v="2"/>
    <n v="5"/>
    <m/>
  </r>
  <r>
    <s v="L1388"/>
    <x v="0"/>
    <x v="0"/>
    <x v="22"/>
    <x v="25"/>
    <x v="0"/>
    <x v="24"/>
    <x v="0"/>
    <x v="0"/>
    <d v="2025-11-18T00:00:00"/>
    <n v="1"/>
    <n v="3"/>
    <n v="2"/>
    <n v="3"/>
  </r>
  <r>
    <s v="L1389"/>
    <x v="2"/>
    <x v="0"/>
    <x v="30"/>
    <x v="6"/>
    <x v="36"/>
    <x v="25"/>
    <x v="0"/>
    <x v="0"/>
    <d v="2025-11-05T00:00:00"/>
    <n v="3"/>
    <n v="2"/>
    <n v="7"/>
    <n v="6"/>
  </r>
  <r>
    <s v="L1390"/>
    <x v="2"/>
    <x v="2"/>
    <x v="28"/>
    <x v="20"/>
    <x v="21"/>
    <x v="6"/>
    <x v="0"/>
    <x v="0"/>
    <d v="2025-11-14T00:00:00"/>
    <n v="5"/>
    <n v="1"/>
    <n v="2"/>
    <n v="1"/>
  </r>
  <r>
    <s v="L1391"/>
    <x v="0"/>
    <x v="0"/>
    <x v="17"/>
    <x v="17"/>
    <x v="14"/>
    <x v="25"/>
    <x v="0"/>
    <x v="0"/>
    <d v="2025-11-08T00:00:00"/>
    <n v="2"/>
    <n v="1"/>
    <n v="2"/>
    <n v="4"/>
  </r>
  <r>
    <s v="L1392"/>
    <x v="1"/>
    <x v="0"/>
    <x v="21"/>
    <x v="18"/>
    <x v="18"/>
    <x v="24"/>
    <x v="0"/>
    <x v="0"/>
    <d v="2025-11-28T00:00:00"/>
    <n v="5"/>
    <n v="4"/>
    <n v="4"/>
    <n v="6"/>
  </r>
  <r>
    <s v="L1393"/>
    <x v="1"/>
    <x v="1"/>
    <x v="13"/>
    <x v="2"/>
    <x v="2"/>
    <x v="2"/>
    <x v="1"/>
    <x v="1"/>
    <m/>
    <m/>
    <m/>
    <m/>
    <m/>
  </r>
  <r>
    <s v="L1394"/>
    <x v="3"/>
    <x v="2"/>
    <x v="20"/>
    <x v="35"/>
    <x v="33"/>
    <x v="39"/>
    <x v="0"/>
    <x v="0"/>
    <d v="2025-12-11T00:00:00"/>
    <n v="4"/>
    <n v="5"/>
    <n v="4"/>
    <n v="2"/>
  </r>
  <r>
    <s v="L1395"/>
    <x v="1"/>
    <x v="0"/>
    <x v="29"/>
    <x v="20"/>
    <x v="21"/>
    <x v="16"/>
    <x v="0"/>
    <x v="0"/>
    <d v="2025-11-11T00:00:00"/>
    <n v="2"/>
    <n v="1"/>
    <n v="4"/>
    <n v="8"/>
  </r>
  <r>
    <s v="L1396"/>
    <x v="0"/>
    <x v="0"/>
    <x v="11"/>
    <x v="7"/>
    <x v="1"/>
    <x v="31"/>
    <x v="0"/>
    <x v="0"/>
    <d v="2025-11-02T00:00:00"/>
    <n v="2"/>
    <n v="2"/>
    <n v="3"/>
    <n v="6"/>
  </r>
  <r>
    <s v="L1397"/>
    <x v="2"/>
    <x v="0"/>
    <x v="10"/>
    <x v="4"/>
    <x v="10"/>
    <x v="4"/>
    <x v="0"/>
    <x v="0"/>
    <d v="2025-11-22T00:00:00"/>
    <n v="2"/>
    <n v="2"/>
    <n v="5"/>
    <n v="2"/>
  </r>
  <r>
    <s v="L1398"/>
    <x v="1"/>
    <x v="0"/>
    <x v="12"/>
    <x v="28"/>
    <x v="0"/>
    <x v="17"/>
    <x v="0"/>
    <x v="0"/>
    <d v="2025-11-19T00:00:00"/>
    <n v="5"/>
    <n v="1"/>
    <n v="3"/>
    <n v="6"/>
  </r>
  <r>
    <s v="L1399"/>
    <x v="3"/>
    <x v="0"/>
    <x v="6"/>
    <x v="3"/>
    <x v="1"/>
    <x v="1"/>
    <x v="0"/>
    <x v="0"/>
    <d v="2025-11-17T00:00:00"/>
    <n v="2"/>
    <n v="1"/>
    <n v="7"/>
    <n v="7"/>
  </r>
  <r>
    <s v="L1400"/>
    <x v="1"/>
    <x v="0"/>
    <x v="7"/>
    <x v="30"/>
    <x v="21"/>
    <x v="22"/>
    <x v="0"/>
    <x v="0"/>
    <d v="2025-11-03T00:00:00"/>
    <n v="4"/>
    <n v="5"/>
    <n v="7"/>
    <n v="1"/>
  </r>
  <r>
    <s v="L1401"/>
    <x v="0"/>
    <x v="0"/>
    <x v="2"/>
    <x v="29"/>
    <x v="35"/>
    <x v="41"/>
    <x v="0"/>
    <x v="0"/>
    <d v="2025-11-04T00:00:00"/>
    <n v="1"/>
    <n v="1"/>
    <n v="3"/>
    <n v="8"/>
  </r>
  <r>
    <s v="L1402"/>
    <x v="3"/>
    <x v="0"/>
    <x v="0"/>
    <x v="0"/>
    <x v="0"/>
    <x v="24"/>
    <x v="0"/>
    <x v="0"/>
    <d v="2025-11-29T00:00:00"/>
    <n v="4"/>
    <n v="4"/>
    <n v="2"/>
    <n v="7"/>
  </r>
  <r>
    <s v="L1403"/>
    <x v="1"/>
    <x v="1"/>
    <x v="18"/>
    <x v="2"/>
    <x v="2"/>
    <x v="2"/>
    <x v="1"/>
    <x v="3"/>
    <m/>
    <m/>
    <m/>
    <m/>
    <m/>
  </r>
  <r>
    <s v="L1404"/>
    <x v="3"/>
    <x v="0"/>
    <x v="19"/>
    <x v="23"/>
    <x v="22"/>
    <x v="23"/>
    <x v="1"/>
    <x v="1"/>
    <m/>
    <n v="3"/>
    <n v="5"/>
    <n v="6"/>
    <m/>
  </r>
  <r>
    <s v="L1405"/>
    <x v="0"/>
    <x v="0"/>
    <x v="24"/>
    <x v="21"/>
    <x v="30"/>
    <x v="16"/>
    <x v="0"/>
    <x v="0"/>
    <d v="2025-11-08T00:00:00"/>
    <n v="2"/>
    <n v="1"/>
    <n v="6"/>
    <n v="7"/>
  </r>
  <r>
    <s v="L1406"/>
    <x v="2"/>
    <x v="2"/>
    <x v="12"/>
    <x v="12"/>
    <x v="0"/>
    <x v="24"/>
    <x v="0"/>
    <x v="0"/>
    <d v="2025-11-11T00:00:00"/>
    <n v="4"/>
    <n v="2"/>
    <n v="2"/>
    <n v="7"/>
  </r>
  <r>
    <s v="L1407"/>
    <x v="0"/>
    <x v="1"/>
    <x v="14"/>
    <x v="2"/>
    <x v="2"/>
    <x v="2"/>
    <x v="1"/>
    <x v="1"/>
    <m/>
    <m/>
    <m/>
    <m/>
    <m/>
  </r>
  <r>
    <s v="L1408"/>
    <x v="0"/>
    <x v="2"/>
    <x v="29"/>
    <x v="14"/>
    <x v="20"/>
    <x v="31"/>
    <x v="1"/>
    <x v="1"/>
    <m/>
    <n v="5"/>
    <n v="1"/>
    <n v="6"/>
    <m/>
  </r>
  <r>
    <s v="L1409"/>
    <x v="0"/>
    <x v="2"/>
    <x v="21"/>
    <x v="16"/>
    <x v="27"/>
    <x v="17"/>
    <x v="0"/>
    <x v="0"/>
    <d v="2025-11-23T00:00:00"/>
    <n v="3"/>
    <n v="4"/>
    <n v="7"/>
    <n v="1"/>
  </r>
  <r>
    <s v="L1410"/>
    <x v="0"/>
    <x v="2"/>
    <x v="2"/>
    <x v="6"/>
    <x v="37"/>
    <x v="28"/>
    <x v="0"/>
    <x v="0"/>
    <d v="2025-11-01T00:00:00"/>
    <n v="4"/>
    <n v="4"/>
    <n v="3"/>
    <n v="1"/>
  </r>
  <r>
    <s v="L1411"/>
    <x v="2"/>
    <x v="0"/>
    <x v="21"/>
    <x v="5"/>
    <x v="24"/>
    <x v="32"/>
    <x v="0"/>
    <x v="0"/>
    <d v="2025-11-13T00:00:00"/>
    <n v="2"/>
    <n v="2"/>
    <n v="5"/>
    <n v="10"/>
  </r>
  <r>
    <s v="L1412"/>
    <x v="2"/>
    <x v="2"/>
    <x v="4"/>
    <x v="22"/>
    <x v="28"/>
    <x v="5"/>
    <x v="0"/>
    <x v="0"/>
    <d v="2025-11-08T00:00:00"/>
    <n v="5"/>
    <n v="5"/>
    <n v="4"/>
    <n v="7"/>
  </r>
  <r>
    <s v="L1413"/>
    <x v="3"/>
    <x v="2"/>
    <x v="25"/>
    <x v="6"/>
    <x v="36"/>
    <x v="25"/>
    <x v="0"/>
    <x v="0"/>
    <d v="2025-11-08T00:00:00"/>
    <n v="2"/>
    <n v="2"/>
    <n v="7"/>
    <n v="3"/>
  </r>
  <r>
    <s v="L1414"/>
    <x v="1"/>
    <x v="2"/>
    <x v="24"/>
    <x v="17"/>
    <x v="14"/>
    <x v="6"/>
    <x v="1"/>
    <x v="5"/>
    <m/>
    <n v="3"/>
    <n v="1"/>
    <n v="3"/>
    <m/>
  </r>
  <r>
    <s v="L1415"/>
    <x v="2"/>
    <x v="2"/>
    <x v="5"/>
    <x v="4"/>
    <x v="10"/>
    <x v="23"/>
    <x v="0"/>
    <x v="0"/>
    <d v="2025-11-27T00:00:00"/>
    <n v="4"/>
    <n v="2"/>
    <n v="7"/>
    <n v="0"/>
  </r>
  <r>
    <s v="L1416"/>
    <x v="2"/>
    <x v="0"/>
    <x v="20"/>
    <x v="10"/>
    <x v="9"/>
    <x v="10"/>
    <x v="0"/>
    <x v="0"/>
    <d v="2025-12-04T00:00:00"/>
    <n v="2"/>
    <n v="5"/>
    <n v="7"/>
    <n v="4"/>
  </r>
  <r>
    <s v="L1417"/>
    <x v="1"/>
    <x v="0"/>
    <x v="7"/>
    <x v="15"/>
    <x v="13"/>
    <x v="38"/>
    <x v="0"/>
    <x v="0"/>
    <d v="2025-10-23T00:00:00"/>
    <n v="3"/>
    <n v="3"/>
    <n v="3"/>
    <n v="10"/>
  </r>
  <r>
    <s v="L1418"/>
    <x v="2"/>
    <x v="0"/>
    <x v="11"/>
    <x v="5"/>
    <x v="24"/>
    <x v="32"/>
    <x v="0"/>
    <x v="0"/>
    <d v="2025-11-16T00:00:00"/>
    <n v="5"/>
    <n v="2"/>
    <n v="5"/>
    <n v="9"/>
  </r>
  <r>
    <s v="L1419"/>
    <x v="0"/>
    <x v="0"/>
    <x v="8"/>
    <x v="8"/>
    <x v="19"/>
    <x v="20"/>
    <x v="0"/>
    <x v="0"/>
    <d v="2025-12-04T00:00:00"/>
    <n v="4"/>
    <n v="5"/>
    <n v="6"/>
    <n v="5"/>
  </r>
  <r>
    <s v="L1420"/>
    <x v="0"/>
    <x v="0"/>
    <x v="7"/>
    <x v="30"/>
    <x v="30"/>
    <x v="27"/>
    <x v="0"/>
    <x v="0"/>
    <d v="2025-11-06T00:00:00"/>
    <n v="4"/>
    <n v="3"/>
    <n v="7"/>
    <n v="1"/>
  </r>
  <r>
    <s v="L1421"/>
    <x v="1"/>
    <x v="2"/>
    <x v="0"/>
    <x v="9"/>
    <x v="0"/>
    <x v="0"/>
    <x v="0"/>
    <x v="0"/>
    <d v="2025-11-21T00:00:00"/>
    <n v="3"/>
    <n v="5"/>
    <n v="5"/>
    <n v="7"/>
  </r>
  <r>
    <s v="L1422"/>
    <x v="3"/>
    <x v="0"/>
    <x v="5"/>
    <x v="4"/>
    <x v="7"/>
    <x v="11"/>
    <x v="0"/>
    <x v="0"/>
    <d v="2025-12-03T00:00:00"/>
    <n v="4"/>
    <n v="5"/>
    <n v="3"/>
    <n v="2"/>
  </r>
  <r>
    <s v="L1423"/>
    <x v="3"/>
    <x v="1"/>
    <x v="13"/>
    <x v="2"/>
    <x v="2"/>
    <x v="2"/>
    <x v="1"/>
    <x v="5"/>
    <m/>
    <m/>
    <m/>
    <m/>
    <m/>
  </r>
  <r>
    <s v="L1424"/>
    <x v="1"/>
    <x v="0"/>
    <x v="6"/>
    <x v="16"/>
    <x v="28"/>
    <x v="1"/>
    <x v="0"/>
    <x v="0"/>
    <d v="2025-11-08T00:00:00"/>
    <n v="5"/>
    <n v="3"/>
    <n v="2"/>
    <n v="3"/>
  </r>
  <r>
    <s v="L1425"/>
    <x v="1"/>
    <x v="2"/>
    <x v="20"/>
    <x v="8"/>
    <x v="9"/>
    <x v="11"/>
    <x v="0"/>
    <x v="0"/>
    <d v="2025-11-25T00:00:00"/>
    <n v="5"/>
    <n v="2"/>
    <n v="2"/>
    <n v="3"/>
  </r>
  <r>
    <s v="L1426"/>
    <x v="0"/>
    <x v="0"/>
    <x v="12"/>
    <x v="12"/>
    <x v="15"/>
    <x v="26"/>
    <x v="0"/>
    <x v="0"/>
    <d v="2025-11-16T00:00:00"/>
    <n v="4"/>
    <n v="3"/>
    <n v="3"/>
    <n v="6"/>
  </r>
  <r>
    <s v="L1427"/>
    <x v="3"/>
    <x v="0"/>
    <x v="29"/>
    <x v="20"/>
    <x v="23"/>
    <x v="14"/>
    <x v="0"/>
    <x v="0"/>
    <d v="2025-11-04T00:00:00"/>
    <n v="2"/>
    <n v="2"/>
    <n v="2"/>
    <n v="7"/>
  </r>
  <r>
    <s v="L1428"/>
    <x v="2"/>
    <x v="0"/>
    <x v="16"/>
    <x v="22"/>
    <x v="28"/>
    <x v="9"/>
    <x v="0"/>
    <x v="0"/>
    <d v="2025-11-23T00:00:00"/>
    <n v="2"/>
    <n v="5"/>
    <n v="6"/>
    <n v="8"/>
  </r>
  <r>
    <s v="L1429"/>
    <x v="0"/>
    <x v="2"/>
    <x v="12"/>
    <x v="28"/>
    <x v="15"/>
    <x v="13"/>
    <x v="0"/>
    <x v="0"/>
    <d v="2025-11-26T00:00:00"/>
    <n v="5"/>
    <n v="2"/>
    <n v="7"/>
    <n v="6"/>
  </r>
  <r>
    <s v="L1430"/>
    <x v="1"/>
    <x v="2"/>
    <x v="17"/>
    <x v="17"/>
    <x v="17"/>
    <x v="22"/>
    <x v="0"/>
    <x v="0"/>
    <d v="2025-11-07T00:00:00"/>
    <n v="2"/>
    <n v="4"/>
    <n v="5"/>
    <n v="10"/>
  </r>
  <r>
    <s v="L1431"/>
    <x v="3"/>
    <x v="2"/>
    <x v="4"/>
    <x v="7"/>
    <x v="6"/>
    <x v="3"/>
    <x v="0"/>
    <x v="0"/>
    <d v="2025-11-16T00:00:00"/>
    <n v="3"/>
    <n v="3"/>
    <n v="4"/>
    <n v="4"/>
  </r>
  <r>
    <s v="L1432"/>
    <x v="2"/>
    <x v="1"/>
    <x v="5"/>
    <x v="2"/>
    <x v="2"/>
    <x v="2"/>
    <x v="1"/>
    <x v="1"/>
    <m/>
    <m/>
    <m/>
    <m/>
    <m/>
  </r>
  <r>
    <s v="L1433"/>
    <x v="2"/>
    <x v="0"/>
    <x v="6"/>
    <x v="7"/>
    <x v="6"/>
    <x v="7"/>
    <x v="0"/>
    <x v="0"/>
    <d v="2025-11-23T00:00:00"/>
    <n v="1"/>
    <n v="3"/>
    <n v="5"/>
    <n v="1"/>
  </r>
  <r>
    <s v="L1434"/>
    <x v="0"/>
    <x v="2"/>
    <x v="6"/>
    <x v="5"/>
    <x v="3"/>
    <x v="7"/>
    <x v="0"/>
    <x v="0"/>
    <d v="2025-11-24T00:00:00"/>
    <n v="4"/>
    <n v="1"/>
    <n v="4"/>
    <n v="3"/>
  </r>
  <r>
    <s v="L1435"/>
    <x v="3"/>
    <x v="2"/>
    <x v="24"/>
    <x v="17"/>
    <x v="20"/>
    <x v="19"/>
    <x v="0"/>
    <x v="0"/>
    <d v="2025-10-31T00:00:00"/>
    <n v="3"/>
    <n v="5"/>
    <n v="3"/>
    <n v="7"/>
  </r>
  <r>
    <s v="L1436"/>
    <x v="3"/>
    <x v="0"/>
    <x v="11"/>
    <x v="5"/>
    <x v="27"/>
    <x v="5"/>
    <x v="0"/>
    <x v="0"/>
    <d v="2025-11-13T00:00:00"/>
    <n v="5"/>
    <n v="5"/>
    <n v="3"/>
    <n v="3"/>
  </r>
  <r>
    <s v="L1437"/>
    <x v="1"/>
    <x v="2"/>
    <x v="21"/>
    <x v="22"/>
    <x v="3"/>
    <x v="7"/>
    <x v="0"/>
    <x v="0"/>
    <d v="2025-11-18T00:00:00"/>
    <n v="1"/>
    <n v="2"/>
    <n v="4"/>
    <n v="8"/>
  </r>
  <r>
    <s v="L1438"/>
    <x v="3"/>
    <x v="2"/>
    <x v="13"/>
    <x v="21"/>
    <x v="23"/>
    <x v="12"/>
    <x v="0"/>
    <x v="0"/>
    <d v="2025-11-06T00:00:00"/>
    <n v="5"/>
    <n v="4"/>
    <n v="7"/>
    <n v="7"/>
  </r>
  <r>
    <s v="L1439"/>
    <x v="3"/>
    <x v="1"/>
    <x v="27"/>
    <x v="2"/>
    <x v="2"/>
    <x v="2"/>
    <x v="1"/>
    <x v="5"/>
    <m/>
    <m/>
    <m/>
    <m/>
    <m/>
  </r>
  <r>
    <s v="L1440"/>
    <x v="0"/>
    <x v="2"/>
    <x v="28"/>
    <x v="30"/>
    <x v="21"/>
    <x v="6"/>
    <x v="0"/>
    <x v="0"/>
    <d v="2025-11-07T00:00:00"/>
    <n v="1"/>
    <n v="5"/>
    <n v="2"/>
    <n v="1"/>
  </r>
  <r>
    <s v="L1441"/>
    <x v="3"/>
    <x v="0"/>
    <x v="20"/>
    <x v="34"/>
    <x v="9"/>
    <x v="23"/>
    <x v="0"/>
    <x v="0"/>
    <d v="2025-12-04T00:00:00"/>
    <n v="3"/>
    <n v="4"/>
    <n v="3"/>
    <n v="8"/>
  </r>
  <r>
    <s v="L1442"/>
    <x v="2"/>
    <x v="1"/>
    <x v="18"/>
    <x v="2"/>
    <x v="2"/>
    <x v="2"/>
    <x v="1"/>
    <x v="3"/>
    <m/>
    <m/>
    <m/>
    <m/>
    <m/>
  </r>
  <r>
    <s v="L1443"/>
    <x v="0"/>
    <x v="0"/>
    <x v="16"/>
    <x v="3"/>
    <x v="1"/>
    <x v="7"/>
    <x v="0"/>
    <x v="0"/>
    <d v="2025-11-20T00:00:00"/>
    <n v="1"/>
    <n v="1"/>
    <n v="6"/>
    <n v="6"/>
  </r>
  <r>
    <s v="L1444"/>
    <x v="0"/>
    <x v="2"/>
    <x v="15"/>
    <x v="25"/>
    <x v="0"/>
    <x v="34"/>
    <x v="1"/>
    <x v="1"/>
    <m/>
    <n v="2"/>
    <n v="3"/>
    <n v="6"/>
    <m/>
  </r>
  <r>
    <s v="L1445"/>
    <x v="1"/>
    <x v="2"/>
    <x v="10"/>
    <x v="10"/>
    <x v="7"/>
    <x v="36"/>
    <x v="0"/>
    <x v="0"/>
    <d v="2025-12-02T00:00:00"/>
    <n v="3"/>
    <n v="4"/>
    <n v="6"/>
    <n v="3"/>
  </r>
  <r>
    <s v="L1446"/>
    <x v="3"/>
    <x v="1"/>
    <x v="13"/>
    <x v="2"/>
    <x v="2"/>
    <x v="2"/>
    <x v="1"/>
    <x v="5"/>
    <m/>
    <m/>
    <m/>
    <m/>
    <m/>
  </r>
  <r>
    <s v="L1447"/>
    <x v="1"/>
    <x v="1"/>
    <x v="3"/>
    <x v="2"/>
    <x v="2"/>
    <x v="2"/>
    <x v="1"/>
    <x v="2"/>
    <m/>
    <m/>
    <m/>
    <m/>
    <m/>
  </r>
  <r>
    <s v="L1448"/>
    <x v="2"/>
    <x v="0"/>
    <x v="25"/>
    <x v="15"/>
    <x v="14"/>
    <x v="19"/>
    <x v="0"/>
    <x v="0"/>
    <d v="2025-10-30T00:00:00"/>
    <n v="4"/>
    <n v="5"/>
    <n v="7"/>
    <n v="3"/>
  </r>
  <r>
    <s v="L1449"/>
    <x v="0"/>
    <x v="2"/>
    <x v="17"/>
    <x v="1"/>
    <x v="25"/>
    <x v="15"/>
    <x v="0"/>
    <x v="0"/>
    <d v="2025-11-18T00:00:00"/>
    <n v="5"/>
    <n v="3"/>
    <n v="6"/>
    <n v="3"/>
  </r>
  <r>
    <s v="L1450"/>
    <x v="0"/>
    <x v="0"/>
    <x v="22"/>
    <x v="12"/>
    <x v="31"/>
    <x v="34"/>
    <x v="0"/>
    <x v="0"/>
    <d v="2025-11-19T00:00:00"/>
    <n v="2"/>
    <n v="4"/>
    <n v="4"/>
    <n v="0"/>
  </r>
  <r>
    <s v="L1451"/>
    <x v="0"/>
    <x v="1"/>
    <x v="19"/>
    <x v="2"/>
    <x v="2"/>
    <x v="2"/>
    <x v="1"/>
    <x v="1"/>
    <m/>
    <m/>
    <m/>
    <m/>
    <m/>
  </r>
  <r>
    <s v="L1452"/>
    <x v="2"/>
    <x v="0"/>
    <x v="3"/>
    <x v="10"/>
    <x v="7"/>
    <x v="39"/>
    <x v="0"/>
    <x v="0"/>
    <d v="2025-11-24T00:00:00"/>
    <n v="4"/>
    <n v="4"/>
    <n v="7"/>
    <n v="4"/>
  </r>
  <r>
    <s v="L1453"/>
    <x v="2"/>
    <x v="1"/>
    <x v="4"/>
    <x v="2"/>
    <x v="2"/>
    <x v="2"/>
    <x v="1"/>
    <x v="1"/>
    <m/>
    <m/>
    <m/>
    <m/>
    <m/>
  </r>
  <r>
    <s v="L1454"/>
    <x v="1"/>
    <x v="1"/>
    <x v="1"/>
    <x v="2"/>
    <x v="2"/>
    <x v="2"/>
    <x v="1"/>
    <x v="3"/>
    <m/>
    <m/>
    <m/>
    <m/>
    <m/>
  </r>
  <r>
    <s v="L1455"/>
    <x v="1"/>
    <x v="0"/>
    <x v="20"/>
    <x v="4"/>
    <x v="10"/>
    <x v="34"/>
    <x v="0"/>
    <x v="0"/>
    <d v="2025-11-23T00:00:00"/>
    <n v="1"/>
    <n v="2"/>
    <n v="2"/>
    <n v="9"/>
  </r>
  <r>
    <s v="L1456"/>
    <x v="1"/>
    <x v="0"/>
    <x v="19"/>
    <x v="28"/>
    <x v="31"/>
    <x v="4"/>
    <x v="1"/>
    <x v="4"/>
    <m/>
    <n v="2"/>
    <n v="3"/>
    <n v="7"/>
    <m/>
  </r>
  <r>
    <s v="L1457"/>
    <x v="3"/>
    <x v="0"/>
    <x v="16"/>
    <x v="16"/>
    <x v="27"/>
    <x v="21"/>
    <x v="0"/>
    <x v="0"/>
    <d v="2025-11-24T00:00:00"/>
    <n v="4"/>
    <n v="4"/>
    <n v="4"/>
    <n v="5"/>
  </r>
  <r>
    <s v="L1458"/>
    <x v="0"/>
    <x v="2"/>
    <x v="17"/>
    <x v="20"/>
    <x v="23"/>
    <x v="16"/>
    <x v="0"/>
    <x v="0"/>
    <d v="2025-11-08T00:00:00"/>
    <n v="3"/>
    <n v="2"/>
    <n v="3"/>
    <n v="5"/>
  </r>
  <r>
    <s v="L1459"/>
    <x v="0"/>
    <x v="0"/>
    <x v="5"/>
    <x v="28"/>
    <x v="10"/>
    <x v="11"/>
    <x v="0"/>
    <x v="0"/>
    <d v="2025-11-22T00:00:00"/>
    <n v="1"/>
    <n v="5"/>
    <n v="6"/>
    <n v="1"/>
  </r>
  <r>
    <s v="L1460"/>
    <x v="1"/>
    <x v="0"/>
    <x v="2"/>
    <x v="6"/>
    <x v="37"/>
    <x v="6"/>
    <x v="1"/>
    <x v="4"/>
    <m/>
    <n v="4"/>
    <n v="4"/>
    <n v="6"/>
    <m/>
  </r>
  <r>
    <s v="L1461"/>
    <x v="0"/>
    <x v="1"/>
    <x v="29"/>
    <x v="2"/>
    <x v="2"/>
    <x v="2"/>
    <x v="1"/>
    <x v="3"/>
    <m/>
    <m/>
    <m/>
    <m/>
    <m/>
  </r>
  <r>
    <s v="L1462"/>
    <x v="1"/>
    <x v="1"/>
    <x v="15"/>
    <x v="2"/>
    <x v="2"/>
    <x v="2"/>
    <x v="1"/>
    <x v="3"/>
    <m/>
    <m/>
    <m/>
    <m/>
    <m/>
  </r>
  <r>
    <s v="L1463"/>
    <x v="3"/>
    <x v="0"/>
    <x v="29"/>
    <x v="17"/>
    <x v="21"/>
    <x v="19"/>
    <x v="0"/>
    <x v="0"/>
    <d v="2025-11-14T00:00:00"/>
    <n v="1"/>
    <n v="2"/>
    <n v="6"/>
    <n v="1"/>
  </r>
  <r>
    <s v="L1464"/>
    <x v="3"/>
    <x v="2"/>
    <x v="5"/>
    <x v="4"/>
    <x v="10"/>
    <x v="18"/>
    <x v="0"/>
    <x v="0"/>
    <d v="2025-12-03T00:00:00"/>
    <n v="4"/>
    <n v="2"/>
    <n v="3"/>
    <n v="4"/>
  </r>
  <r>
    <s v="L1465"/>
    <x v="2"/>
    <x v="2"/>
    <x v="23"/>
    <x v="9"/>
    <x v="18"/>
    <x v="0"/>
    <x v="0"/>
    <x v="0"/>
    <d v="2025-11-13T00:00:00"/>
    <n v="5"/>
    <n v="3"/>
    <n v="7"/>
    <n v="4"/>
  </r>
  <r>
    <s v="L1466"/>
    <x v="3"/>
    <x v="2"/>
    <x v="23"/>
    <x v="31"/>
    <x v="28"/>
    <x v="21"/>
    <x v="0"/>
    <x v="0"/>
    <d v="2025-11-13T00:00:00"/>
    <n v="3"/>
    <n v="2"/>
    <n v="5"/>
    <n v="1"/>
  </r>
  <r>
    <s v="L1467"/>
    <x v="1"/>
    <x v="0"/>
    <x v="26"/>
    <x v="9"/>
    <x v="8"/>
    <x v="17"/>
    <x v="0"/>
    <x v="0"/>
    <d v="2025-11-17T00:00:00"/>
    <n v="2"/>
    <n v="4"/>
    <n v="4"/>
    <n v="1"/>
  </r>
  <r>
    <s v="L1468"/>
    <x v="3"/>
    <x v="0"/>
    <x v="6"/>
    <x v="5"/>
    <x v="3"/>
    <x v="5"/>
    <x v="0"/>
    <x v="0"/>
    <d v="2025-11-13T00:00:00"/>
    <n v="4"/>
    <n v="1"/>
    <n v="7"/>
    <n v="0"/>
  </r>
  <r>
    <s v="L1469"/>
    <x v="2"/>
    <x v="1"/>
    <x v="3"/>
    <x v="2"/>
    <x v="2"/>
    <x v="2"/>
    <x v="1"/>
    <x v="3"/>
    <m/>
    <m/>
    <m/>
    <m/>
    <m/>
  </r>
  <r>
    <s v="L1470"/>
    <x v="0"/>
    <x v="0"/>
    <x v="13"/>
    <x v="13"/>
    <x v="30"/>
    <x v="38"/>
    <x v="0"/>
    <x v="0"/>
    <d v="2025-10-24T00:00:00"/>
    <n v="1"/>
    <n v="5"/>
    <n v="2"/>
    <n v="7"/>
  </r>
  <r>
    <s v="L1471"/>
    <x v="1"/>
    <x v="1"/>
    <x v="11"/>
    <x v="2"/>
    <x v="2"/>
    <x v="2"/>
    <x v="1"/>
    <x v="4"/>
    <m/>
    <m/>
    <m/>
    <m/>
    <m/>
  </r>
  <r>
    <s v="L1472"/>
    <x v="0"/>
    <x v="1"/>
    <x v="21"/>
    <x v="2"/>
    <x v="2"/>
    <x v="2"/>
    <x v="1"/>
    <x v="3"/>
    <m/>
    <m/>
    <m/>
    <m/>
    <m/>
  </r>
  <r>
    <s v="L1473"/>
    <x v="2"/>
    <x v="0"/>
    <x v="6"/>
    <x v="22"/>
    <x v="16"/>
    <x v="1"/>
    <x v="0"/>
    <x v="0"/>
    <d v="2025-11-12T00:00:00"/>
    <n v="3"/>
    <n v="4"/>
    <n v="3"/>
    <n v="8"/>
  </r>
  <r>
    <s v="L1474"/>
    <x v="2"/>
    <x v="1"/>
    <x v="9"/>
    <x v="2"/>
    <x v="2"/>
    <x v="2"/>
    <x v="1"/>
    <x v="5"/>
    <m/>
    <m/>
    <m/>
    <m/>
    <m/>
  </r>
  <r>
    <s v="L1475"/>
    <x v="2"/>
    <x v="0"/>
    <x v="1"/>
    <x v="19"/>
    <x v="25"/>
    <x v="31"/>
    <x v="1"/>
    <x v="1"/>
    <m/>
    <n v="2"/>
    <n v="4"/>
    <n v="5"/>
    <m/>
  </r>
  <r>
    <s v="L1476"/>
    <x v="0"/>
    <x v="2"/>
    <x v="21"/>
    <x v="22"/>
    <x v="28"/>
    <x v="21"/>
    <x v="0"/>
    <x v="0"/>
    <d v="2025-11-09T00:00:00"/>
    <n v="1"/>
    <n v="5"/>
    <n v="5"/>
    <n v="2"/>
  </r>
  <r>
    <s v="L1477"/>
    <x v="0"/>
    <x v="0"/>
    <x v="22"/>
    <x v="28"/>
    <x v="10"/>
    <x v="34"/>
    <x v="1"/>
    <x v="1"/>
    <m/>
    <n v="3"/>
    <n v="5"/>
    <n v="2"/>
    <m/>
  </r>
  <r>
    <s v="L1478"/>
    <x v="0"/>
    <x v="0"/>
    <x v="21"/>
    <x v="22"/>
    <x v="3"/>
    <x v="3"/>
    <x v="0"/>
    <x v="0"/>
    <d v="2025-11-17T00:00:00"/>
    <n v="1"/>
    <n v="2"/>
    <n v="3"/>
    <n v="7"/>
  </r>
  <r>
    <s v="L1479"/>
    <x v="0"/>
    <x v="0"/>
    <x v="27"/>
    <x v="24"/>
    <x v="6"/>
    <x v="7"/>
    <x v="1"/>
    <x v="2"/>
    <m/>
    <n v="3"/>
    <n v="4"/>
    <n v="5"/>
    <m/>
  </r>
  <r>
    <s v="L1480"/>
    <x v="2"/>
    <x v="0"/>
    <x v="11"/>
    <x v="7"/>
    <x v="1"/>
    <x v="1"/>
    <x v="0"/>
    <x v="0"/>
    <d v="2025-11-06T00:00:00"/>
    <n v="2"/>
    <n v="2"/>
    <n v="7"/>
    <n v="2"/>
  </r>
  <r>
    <s v="L1481"/>
    <x v="2"/>
    <x v="0"/>
    <x v="20"/>
    <x v="10"/>
    <x v="4"/>
    <x v="8"/>
    <x v="0"/>
    <x v="0"/>
    <d v="2025-12-01T00:00:00"/>
    <n v="2"/>
    <n v="3"/>
    <n v="6"/>
    <n v="8"/>
  </r>
  <r>
    <s v="L1482"/>
    <x v="1"/>
    <x v="0"/>
    <x v="1"/>
    <x v="20"/>
    <x v="23"/>
    <x v="14"/>
    <x v="0"/>
    <x v="0"/>
    <d v="2025-11-01T00:00:00"/>
    <n v="1"/>
    <n v="2"/>
    <n v="2"/>
    <n v="5"/>
  </r>
  <r>
    <s v="L1483"/>
    <x v="1"/>
    <x v="0"/>
    <x v="3"/>
    <x v="4"/>
    <x v="22"/>
    <x v="23"/>
    <x v="0"/>
    <x v="0"/>
    <d v="2025-11-27T00:00:00"/>
    <n v="3"/>
    <n v="3"/>
    <n v="6"/>
    <n v="5"/>
  </r>
  <r>
    <s v="L1484"/>
    <x v="0"/>
    <x v="0"/>
    <x v="28"/>
    <x v="17"/>
    <x v="14"/>
    <x v="25"/>
    <x v="0"/>
    <x v="0"/>
    <d v="2025-11-04T00:00:00"/>
    <n v="4"/>
    <n v="1"/>
    <n v="2"/>
    <n v="6"/>
  </r>
  <r>
    <s v="L1485"/>
    <x v="3"/>
    <x v="0"/>
    <x v="12"/>
    <x v="0"/>
    <x v="0"/>
    <x v="26"/>
    <x v="1"/>
    <x v="2"/>
    <m/>
    <n v="2"/>
    <n v="4"/>
    <n v="4"/>
    <m/>
  </r>
  <r>
    <s v="L1486"/>
    <x v="3"/>
    <x v="0"/>
    <x v="24"/>
    <x v="20"/>
    <x v="17"/>
    <x v="19"/>
    <x v="0"/>
    <x v="0"/>
    <d v="2025-11-12T00:00:00"/>
    <n v="4"/>
    <n v="3"/>
    <n v="4"/>
    <n v="9"/>
  </r>
  <r>
    <s v="L1487"/>
    <x v="2"/>
    <x v="2"/>
    <x v="23"/>
    <x v="18"/>
    <x v="28"/>
    <x v="32"/>
    <x v="0"/>
    <x v="0"/>
    <d v="2025-11-22T00:00:00"/>
    <n v="4"/>
    <n v="1"/>
    <n v="3"/>
    <n v="4"/>
  </r>
  <r>
    <s v="L1488"/>
    <x v="2"/>
    <x v="0"/>
    <x v="27"/>
    <x v="3"/>
    <x v="16"/>
    <x v="5"/>
    <x v="0"/>
    <x v="0"/>
    <d v="2025-11-19T00:00:00"/>
    <n v="5"/>
    <n v="5"/>
    <n v="5"/>
    <n v="5"/>
  </r>
  <r>
    <s v="L1489"/>
    <x v="2"/>
    <x v="2"/>
    <x v="24"/>
    <x v="27"/>
    <x v="30"/>
    <x v="16"/>
    <x v="0"/>
    <x v="0"/>
    <d v="2025-11-16T00:00:00"/>
    <n v="1"/>
    <n v="2"/>
    <n v="6"/>
    <n v="2"/>
  </r>
  <r>
    <s v="L1490"/>
    <x v="1"/>
    <x v="0"/>
    <x v="3"/>
    <x v="23"/>
    <x v="15"/>
    <x v="34"/>
    <x v="0"/>
    <x v="0"/>
    <d v="2025-11-17T00:00:00"/>
    <n v="1"/>
    <n v="1"/>
    <n v="5"/>
    <n v="9"/>
  </r>
  <r>
    <s v="L1491"/>
    <x v="1"/>
    <x v="0"/>
    <x v="22"/>
    <x v="25"/>
    <x v="0"/>
    <x v="26"/>
    <x v="1"/>
    <x v="1"/>
    <m/>
    <n v="1"/>
    <n v="3"/>
    <n v="4"/>
    <m/>
  </r>
  <r>
    <s v="L1492"/>
    <x v="2"/>
    <x v="0"/>
    <x v="4"/>
    <x v="7"/>
    <x v="3"/>
    <x v="32"/>
    <x v="0"/>
    <x v="0"/>
    <d v="2025-11-06T00:00:00"/>
    <n v="3"/>
    <n v="4"/>
    <n v="6"/>
    <n v="3"/>
  </r>
  <r>
    <s v="L1493"/>
    <x v="2"/>
    <x v="0"/>
    <x v="30"/>
    <x v="26"/>
    <x v="37"/>
    <x v="14"/>
    <x v="0"/>
    <x v="0"/>
    <d v="2025-11-02T00:00:00"/>
    <n v="2"/>
    <n v="5"/>
    <n v="7"/>
    <n v="1"/>
  </r>
  <r>
    <s v="L1494"/>
    <x v="2"/>
    <x v="1"/>
    <x v="1"/>
    <x v="2"/>
    <x v="2"/>
    <x v="2"/>
    <x v="1"/>
    <x v="5"/>
    <m/>
    <m/>
    <m/>
    <m/>
    <m/>
  </r>
  <r>
    <s v="L1495"/>
    <x v="3"/>
    <x v="1"/>
    <x v="15"/>
    <x v="2"/>
    <x v="2"/>
    <x v="2"/>
    <x v="1"/>
    <x v="4"/>
    <m/>
    <m/>
    <m/>
    <m/>
    <m/>
  </r>
  <r>
    <s v="L1496"/>
    <x v="1"/>
    <x v="1"/>
    <x v="6"/>
    <x v="2"/>
    <x v="2"/>
    <x v="2"/>
    <x v="1"/>
    <x v="4"/>
    <m/>
    <m/>
    <m/>
    <m/>
    <m/>
  </r>
  <r>
    <s v="L1497"/>
    <x v="3"/>
    <x v="1"/>
    <x v="12"/>
    <x v="2"/>
    <x v="2"/>
    <x v="2"/>
    <x v="1"/>
    <x v="5"/>
    <m/>
    <m/>
    <m/>
    <m/>
    <m/>
  </r>
  <r>
    <s v="L1498"/>
    <x v="3"/>
    <x v="2"/>
    <x v="20"/>
    <x v="10"/>
    <x v="9"/>
    <x v="23"/>
    <x v="0"/>
    <x v="0"/>
    <d v="2025-11-30T00:00:00"/>
    <n v="2"/>
    <n v="5"/>
    <n v="3"/>
    <n v="8"/>
  </r>
  <r>
    <s v="L1499"/>
    <x v="2"/>
    <x v="2"/>
    <x v="19"/>
    <x v="4"/>
    <x v="12"/>
    <x v="13"/>
    <x v="0"/>
    <x v="0"/>
    <d v="2025-12-01T00:00:00"/>
    <n v="5"/>
    <n v="1"/>
    <n v="5"/>
    <n v="7"/>
  </r>
  <r>
    <s v="L1500"/>
    <x v="2"/>
    <x v="0"/>
    <x v="27"/>
    <x v="3"/>
    <x v="1"/>
    <x v="12"/>
    <x v="0"/>
    <x v="0"/>
    <d v="2025-11-19T00:00:00"/>
    <n v="5"/>
    <n v="1"/>
    <n v="2"/>
    <n v="9"/>
  </r>
  <r>
    <s v="L1501"/>
    <x v="0"/>
    <x v="2"/>
    <x v="27"/>
    <x v="3"/>
    <x v="6"/>
    <x v="31"/>
    <x v="0"/>
    <x v="0"/>
    <d v="2025-11-15T00:00:00"/>
    <n v="5"/>
    <n v="2"/>
    <n v="2"/>
    <n v="4"/>
  </r>
  <r>
    <s v="L1502"/>
    <x v="0"/>
    <x v="0"/>
    <x v="26"/>
    <x v="25"/>
    <x v="31"/>
    <x v="13"/>
    <x v="0"/>
    <x v="0"/>
    <d v="2025-11-21T00:00:00"/>
    <n v="4"/>
    <n v="5"/>
    <n v="6"/>
    <n v="5"/>
  </r>
  <r>
    <s v="L1503"/>
    <x v="3"/>
    <x v="0"/>
    <x v="19"/>
    <x v="12"/>
    <x v="12"/>
    <x v="0"/>
    <x v="0"/>
    <x v="0"/>
    <d v="2025-11-28T00:00:00"/>
    <n v="1"/>
    <n v="5"/>
    <n v="2"/>
    <n v="10"/>
  </r>
  <r>
    <s v="L1504"/>
    <x v="1"/>
    <x v="0"/>
    <x v="5"/>
    <x v="11"/>
    <x v="12"/>
    <x v="0"/>
    <x v="0"/>
    <x v="0"/>
    <d v="2025-12-01T00:00:00"/>
    <n v="3"/>
    <n v="2"/>
    <n v="2"/>
    <n v="1"/>
  </r>
  <r>
    <s v="L1505"/>
    <x v="2"/>
    <x v="0"/>
    <x v="0"/>
    <x v="18"/>
    <x v="18"/>
    <x v="24"/>
    <x v="0"/>
    <x v="0"/>
    <d v="2025-11-27T00:00:00"/>
    <n v="2"/>
    <n v="4"/>
    <n v="4"/>
    <n v="10"/>
  </r>
  <r>
    <s v="L1506"/>
    <x v="2"/>
    <x v="0"/>
    <x v="13"/>
    <x v="30"/>
    <x v="13"/>
    <x v="38"/>
    <x v="0"/>
    <x v="0"/>
    <d v="2025-11-03T00:00:00"/>
    <n v="3"/>
    <n v="2"/>
    <n v="3"/>
    <n v="5"/>
  </r>
  <r>
    <s v="L1507"/>
    <x v="3"/>
    <x v="0"/>
    <x v="6"/>
    <x v="7"/>
    <x v="6"/>
    <x v="31"/>
    <x v="0"/>
    <x v="0"/>
    <d v="2025-11-12T00:00:00"/>
    <n v="1"/>
    <n v="3"/>
    <n v="2"/>
    <n v="5"/>
  </r>
  <r>
    <s v="L1508"/>
    <x v="0"/>
    <x v="1"/>
    <x v="8"/>
    <x v="2"/>
    <x v="2"/>
    <x v="2"/>
    <x v="1"/>
    <x v="4"/>
    <m/>
    <m/>
    <m/>
    <m/>
    <m/>
  </r>
  <r>
    <s v="L1509"/>
    <x v="1"/>
    <x v="0"/>
    <x v="30"/>
    <x v="33"/>
    <x v="29"/>
    <x v="29"/>
    <x v="0"/>
    <x v="0"/>
    <d v="2025-10-23T00:00:00"/>
    <n v="1"/>
    <n v="3"/>
    <n v="2"/>
    <n v="7"/>
  </r>
  <r>
    <s v="L1510"/>
    <x v="0"/>
    <x v="1"/>
    <x v="13"/>
    <x v="2"/>
    <x v="2"/>
    <x v="2"/>
    <x v="1"/>
    <x v="3"/>
    <m/>
    <m/>
    <m/>
    <m/>
    <m/>
  </r>
  <r>
    <s v="L1511"/>
    <x v="0"/>
    <x v="2"/>
    <x v="16"/>
    <x v="22"/>
    <x v="6"/>
    <x v="7"/>
    <x v="0"/>
    <x v="0"/>
    <d v="2025-11-12T00:00:00"/>
    <n v="2"/>
    <n v="1"/>
    <n v="5"/>
    <n v="7"/>
  </r>
  <r>
    <s v="L1512"/>
    <x v="0"/>
    <x v="1"/>
    <x v="8"/>
    <x v="2"/>
    <x v="2"/>
    <x v="2"/>
    <x v="1"/>
    <x v="1"/>
    <m/>
    <m/>
    <m/>
    <m/>
    <m/>
  </r>
  <r>
    <s v="L1513"/>
    <x v="0"/>
    <x v="0"/>
    <x v="23"/>
    <x v="18"/>
    <x v="27"/>
    <x v="24"/>
    <x v="0"/>
    <x v="0"/>
    <d v="2025-11-12T00:00:00"/>
    <n v="4"/>
    <n v="2"/>
    <n v="6"/>
    <n v="3"/>
  </r>
  <r>
    <s v="L1514"/>
    <x v="2"/>
    <x v="0"/>
    <x v="1"/>
    <x v="24"/>
    <x v="11"/>
    <x v="31"/>
    <x v="0"/>
    <x v="0"/>
    <d v="2025-11-10T00:00:00"/>
    <n v="5"/>
    <n v="2"/>
    <n v="4"/>
    <n v="5"/>
  </r>
  <r>
    <s v="L1515"/>
    <x v="2"/>
    <x v="2"/>
    <x v="3"/>
    <x v="10"/>
    <x v="10"/>
    <x v="23"/>
    <x v="1"/>
    <x v="1"/>
    <m/>
    <n v="4"/>
    <n v="1"/>
    <n v="7"/>
    <m/>
  </r>
  <r>
    <s v="L1516"/>
    <x v="0"/>
    <x v="0"/>
    <x v="7"/>
    <x v="6"/>
    <x v="37"/>
    <x v="14"/>
    <x v="0"/>
    <x v="0"/>
    <d v="2025-10-26T00:00:00"/>
    <n v="1"/>
    <n v="4"/>
    <n v="7"/>
    <n v="2"/>
  </r>
  <r>
    <s v="L1517"/>
    <x v="1"/>
    <x v="2"/>
    <x v="3"/>
    <x v="23"/>
    <x v="31"/>
    <x v="13"/>
    <x v="0"/>
    <x v="0"/>
    <d v="2025-11-28T00:00:00"/>
    <n v="1"/>
    <n v="2"/>
    <n v="6"/>
    <n v="1"/>
  </r>
  <r>
    <s v="L1518"/>
    <x v="3"/>
    <x v="2"/>
    <x v="3"/>
    <x v="10"/>
    <x v="9"/>
    <x v="36"/>
    <x v="0"/>
    <x v="0"/>
    <d v="2025-11-22T00:00:00"/>
    <n v="4"/>
    <n v="5"/>
    <n v="5"/>
    <n v="10"/>
  </r>
  <r>
    <s v="L1519"/>
    <x v="1"/>
    <x v="0"/>
    <x v="11"/>
    <x v="5"/>
    <x v="24"/>
    <x v="32"/>
    <x v="0"/>
    <x v="0"/>
    <d v="2025-11-11T00:00:00"/>
    <n v="5"/>
    <n v="2"/>
    <n v="5"/>
    <n v="6"/>
  </r>
  <r>
    <s v="L1520"/>
    <x v="1"/>
    <x v="0"/>
    <x v="7"/>
    <x v="27"/>
    <x v="21"/>
    <x v="22"/>
    <x v="0"/>
    <x v="0"/>
    <d v="2025-11-17T00:00:00"/>
    <n v="5"/>
    <n v="4"/>
    <n v="7"/>
    <n v="7"/>
  </r>
  <r>
    <s v="L1521"/>
    <x v="1"/>
    <x v="0"/>
    <x v="16"/>
    <x v="3"/>
    <x v="6"/>
    <x v="7"/>
    <x v="0"/>
    <x v="0"/>
    <d v="2025-11-10T00:00:00"/>
    <n v="1"/>
    <n v="2"/>
    <n v="5"/>
    <n v="4"/>
  </r>
  <r>
    <s v="L1522"/>
    <x v="0"/>
    <x v="1"/>
    <x v="20"/>
    <x v="2"/>
    <x v="2"/>
    <x v="2"/>
    <x v="1"/>
    <x v="5"/>
    <m/>
    <m/>
    <m/>
    <m/>
    <m/>
  </r>
  <r>
    <s v="L1523"/>
    <x v="2"/>
    <x v="0"/>
    <x v="11"/>
    <x v="5"/>
    <x v="27"/>
    <x v="32"/>
    <x v="0"/>
    <x v="0"/>
    <d v="2025-11-13T00:00:00"/>
    <n v="5"/>
    <n v="5"/>
    <n v="2"/>
    <n v="4"/>
  </r>
  <r>
    <s v="L1524"/>
    <x v="1"/>
    <x v="0"/>
    <x v="2"/>
    <x v="13"/>
    <x v="37"/>
    <x v="14"/>
    <x v="0"/>
    <x v="0"/>
    <d v="2025-11-15T00:00:00"/>
    <n v="5"/>
    <n v="3"/>
    <n v="7"/>
    <n v="8"/>
  </r>
  <r>
    <s v="L1525"/>
    <x v="0"/>
    <x v="2"/>
    <x v="15"/>
    <x v="25"/>
    <x v="0"/>
    <x v="34"/>
    <x v="0"/>
    <x v="0"/>
    <d v="2025-11-21T00:00:00"/>
    <n v="2"/>
    <n v="3"/>
    <n v="6"/>
    <n v="8"/>
  </r>
  <r>
    <s v="L1526"/>
    <x v="1"/>
    <x v="0"/>
    <x v="13"/>
    <x v="15"/>
    <x v="30"/>
    <x v="16"/>
    <x v="0"/>
    <x v="0"/>
    <d v="2025-11-02T00:00:00"/>
    <n v="2"/>
    <n v="4"/>
    <n v="6"/>
    <n v="6"/>
  </r>
  <r>
    <s v="L1527"/>
    <x v="1"/>
    <x v="0"/>
    <x v="4"/>
    <x v="7"/>
    <x v="3"/>
    <x v="32"/>
    <x v="0"/>
    <x v="0"/>
    <d v="2025-11-14T00:00:00"/>
    <n v="3"/>
    <n v="4"/>
    <n v="6"/>
    <n v="4"/>
  </r>
  <r>
    <s v="L1528"/>
    <x v="0"/>
    <x v="1"/>
    <x v="3"/>
    <x v="2"/>
    <x v="2"/>
    <x v="2"/>
    <x v="1"/>
    <x v="4"/>
    <m/>
    <m/>
    <m/>
    <m/>
    <m/>
  </r>
  <r>
    <s v="L1529"/>
    <x v="2"/>
    <x v="1"/>
    <x v="0"/>
    <x v="2"/>
    <x v="2"/>
    <x v="2"/>
    <x v="1"/>
    <x v="2"/>
    <m/>
    <m/>
    <m/>
    <m/>
    <m/>
  </r>
  <r>
    <s v="L1530"/>
    <x v="2"/>
    <x v="0"/>
    <x v="13"/>
    <x v="27"/>
    <x v="23"/>
    <x v="16"/>
    <x v="0"/>
    <x v="0"/>
    <d v="2025-11-16T00:00:00"/>
    <n v="4"/>
    <n v="5"/>
    <n v="3"/>
    <n v="2"/>
  </r>
  <r>
    <s v="L1531"/>
    <x v="3"/>
    <x v="2"/>
    <x v="25"/>
    <x v="26"/>
    <x v="36"/>
    <x v="42"/>
    <x v="0"/>
    <x v="0"/>
    <d v="2025-11-03T00:00:00"/>
    <n v="1"/>
    <n v="3"/>
    <n v="4"/>
    <n v="2"/>
  </r>
  <r>
    <s v="L1532"/>
    <x v="0"/>
    <x v="1"/>
    <x v="6"/>
    <x v="2"/>
    <x v="2"/>
    <x v="2"/>
    <x v="1"/>
    <x v="2"/>
    <m/>
    <m/>
    <m/>
    <m/>
    <m/>
  </r>
  <r>
    <s v="L1533"/>
    <x v="3"/>
    <x v="0"/>
    <x v="19"/>
    <x v="4"/>
    <x v="22"/>
    <x v="18"/>
    <x v="0"/>
    <x v="0"/>
    <d v="2025-12-01T00:00:00"/>
    <n v="5"/>
    <n v="3"/>
    <n v="2"/>
    <n v="1"/>
  </r>
  <r>
    <s v="L1534"/>
    <x v="3"/>
    <x v="2"/>
    <x v="17"/>
    <x v="20"/>
    <x v="17"/>
    <x v="19"/>
    <x v="0"/>
    <x v="0"/>
    <d v="2025-10-29T00:00:00"/>
    <n v="3"/>
    <n v="3"/>
    <n v="4"/>
    <n v="0"/>
  </r>
  <r>
    <s v="L1535"/>
    <x v="3"/>
    <x v="2"/>
    <x v="1"/>
    <x v="19"/>
    <x v="20"/>
    <x v="27"/>
    <x v="1"/>
    <x v="4"/>
    <m/>
    <n v="2"/>
    <n v="3"/>
    <n v="2"/>
    <m/>
  </r>
  <r>
    <s v="L1536"/>
    <x v="2"/>
    <x v="0"/>
    <x v="18"/>
    <x v="0"/>
    <x v="15"/>
    <x v="18"/>
    <x v="0"/>
    <x v="0"/>
    <d v="2025-11-15T00:00:00"/>
    <n v="5"/>
    <n v="5"/>
    <n v="6"/>
    <n v="0"/>
  </r>
  <r>
    <s v="L1537"/>
    <x v="0"/>
    <x v="2"/>
    <x v="12"/>
    <x v="12"/>
    <x v="31"/>
    <x v="0"/>
    <x v="0"/>
    <x v="0"/>
    <d v="2025-11-28T00:00:00"/>
    <n v="4"/>
    <n v="4"/>
    <n v="3"/>
    <n v="3"/>
  </r>
  <r>
    <s v="L1538"/>
    <x v="3"/>
    <x v="1"/>
    <x v="27"/>
    <x v="2"/>
    <x v="2"/>
    <x v="2"/>
    <x v="1"/>
    <x v="2"/>
    <m/>
    <m/>
    <m/>
    <m/>
    <m/>
  </r>
  <r>
    <s v="L1539"/>
    <x v="0"/>
    <x v="0"/>
    <x v="0"/>
    <x v="18"/>
    <x v="18"/>
    <x v="9"/>
    <x v="1"/>
    <x v="5"/>
    <m/>
    <n v="2"/>
    <n v="4"/>
    <n v="3"/>
    <m/>
  </r>
  <r>
    <s v="L1540"/>
    <x v="0"/>
    <x v="2"/>
    <x v="25"/>
    <x v="26"/>
    <x v="32"/>
    <x v="42"/>
    <x v="0"/>
    <x v="0"/>
    <d v="2025-10-25T00:00:00"/>
    <n v="1"/>
    <n v="1"/>
    <n v="6"/>
    <n v="9"/>
  </r>
  <r>
    <s v="L1541"/>
    <x v="2"/>
    <x v="1"/>
    <x v="3"/>
    <x v="2"/>
    <x v="2"/>
    <x v="2"/>
    <x v="1"/>
    <x v="5"/>
    <m/>
    <m/>
    <m/>
    <m/>
    <m/>
  </r>
  <r>
    <s v="L1542"/>
    <x v="3"/>
    <x v="0"/>
    <x v="1"/>
    <x v="24"/>
    <x v="6"/>
    <x v="3"/>
    <x v="0"/>
    <x v="0"/>
    <d v="2025-11-23T00:00:00"/>
    <n v="5"/>
    <n v="4"/>
    <n v="4"/>
    <n v="9"/>
  </r>
  <r>
    <s v="L1543"/>
    <x v="3"/>
    <x v="0"/>
    <x v="3"/>
    <x v="4"/>
    <x v="22"/>
    <x v="11"/>
    <x v="0"/>
    <x v="0"/>
    <d v="2025-11-23T00:00:00"/>
    <n v="3"/>
    <n v="3"/>
    <n v="5"/>
    <n v="4"/>
  </r>
  <r>
    <s v="L1544"/>
    <x v="0"/>
    <x v="2"/>
    <x v="26"/>
    <x v="18"/>
    <x v="27"/>
    <x v="24"/>
    <x v="0"/>
    <x v="0"/>
    <d v="2025-11-29T00:00:00"/>
    <n v="1"/>
    <n v="2"/>
    <n v="6"/>
    <n v="1"/>
  </r>
  <r>
    <s v="L1545"/>
    <x v="1"/>
    <x v="2"/>
    <x v="3"/>
    <x v="34"/>
    <x v="7"/>
    <x v="39"/>
    <x v="0"/>
    <x v="0"/>
    <d v="2025-11-22T00:00:00"/>
    <n v="5"/>
    <n v="3"/>
    <n v="7"/>
    <n v="6"/>
  </r>
  <r>
    <s v="L1546"/>
    <x v="2"/>
    <x v="0"/>
    <x v="21"/>
    <x v="18"/>
    <x v="26"/>
    <x v="26"/>
    <x v="0"/>
    <x v="0"/>
    <d v="2025-11-19T00:00:00"/>
    <n v="5"/>
    <n v="3"/>
    <n v="7"/>
    <n v="3"/>
  </r>
  <r>
    <s v="L1547"/>
    <x v="2"/>
    <x v="0"/>
    <x v="27"/>
    <x v="3"/>
    <x v="24"/>
    <x v="21"/>
    <x v="0"/>
    <x v="0"/>
    <d v="2025-11-16T00:00:00"/>
    <n v="5"/>
    <n v="4"/>
    <n v="7"/>
    <n v="4"/>
  </r>
  <r>
    <s v="L1548"/>
    <x v="2"/>
    <x v="0"/>
    <x v="8"/>
    <x v="32"/>
    <x v="9"/>
    <x v="10"/>
    <x v="0"/>
    <x v="0"/>
    <d v="2025-12-12T00:00:00"/>
    <n v="5"/>
    <n v="1"/>
    <n v="7"/>
    <n v="6"/>
  </r>
  <r>
    <s v="L1549"/>
    <x v="2"/>
    <x v="0"/>
    <x v="1"/>
    <x v="24"/>
    <x v="3"/>
    <x v="15"/>
    <x v="0"/>
    <x v="0"/>
    <d v="2025-11-11T00:00:00"/>
    <n v="5"/>
    <n v="5"/>
    <n v="2"/>
    <n v="5"/>
  </r>
  <r>
    <s v="L1550"/>
    <x v="3"/>
    <x v="0"/>
    <x v="0"/>
    <x v="31"/>
    <x v="28"/>
    <x v="5"/>
    <x v="0"/>
    <x v="0"/>
    <d v="2025-11-27T00:00:00"/>
    <n v="1"/>
    <n v="2"/>
    <n v="4"/>
    <n v="3"/>
  </r>
  <r>
    <s v="L1551"/>
    <x v="3"/>
    <x v="2"/>
    <x v="12"/>
    <x v="12"/>
    <x v="0"/>
    <x v="18"/>
    <x v="0"/>
    <x v="0"/>
    <d v="2025-11-23T00:00:00"/>
    <n v="4"/>
    <n v="2"/>
    <n v="7"/>
    <n v="3"/>
  </r>
  <r>
    <s v="L1552"/>
    <x v="1"/>
    <x v="0"/>
    <x v="10"/>
    <x v="34"/>
    <x v="22"/>
    <x v="11"/>
    <x v="0"/>
    <x v="0"/>
    <d v="2025-12-01T00:00:00"/>
    <n v="4"/>
    <n v="1"/>
    <n v="5"/>
    <n v="9"/>
  </r>
  <r>
    <s v="L1553"/>
    <x v="2"/>
    <x v="1"/>
    <x v="22"/>
    <x v="2"/>
    <x v="2"/>
    <x v="2"/>
    <x v="1"/>
    <x v="4"/>
    <m/>
    <m/>
    <m/>
    <m/>
    <m/>
  </r>
  <r>
    <s v="L1554"/>
    <x v="2"/>
    <x v="0"/>
    <x v="6"/>
    <x v="7"/>
    <x v="6"/>
    <x v="32"/>
    <x v="0"/>
    <x v="0"/>
    <d v="2025-11-18T00:00:00"/>
    <n v="1"/>
    <n v="3"/>
    <n v="7"/>
    <n v="2"/>
  </r>
  <r>
    <s v="L1555"/>
    <x v="0"/>
    <x v="0"/>
    <x v="3"/>
    <x v="10"/>
    <x v="9"/>
    <x v="23"/>
    <x v="0"/>
    <x v="0"/>
    <d v="2025-11-30T00:00:00"/>
    <n v="4"/>
    <n v="5"/>
    <n v="3"/>
    <n v="8"/>
  </r>
  <r>
    <s v="L1556"/>
    <x v="3"/>
    <x v="2"/>
    <x v="21"/>
    <x v="16"/>
    <x v="26"/>
    <x v="5"/>
    <x v="0"/>
    <x v="0"/>
    <d v="2025-11-21T00:00:00"/>
    <n v="3"/>
    <n v="5"/>
    <n v="2"/>
    <n v="1"/>
  </r>
  <r>
    <s v="L1557"/>
    <x v="2"/>
    <x v="0"/>
    <x v="30"/>
    <x v="6"/>
    <x v="13"/>
    <x v="38"/>
    <x v="0"/>
    <x v="0"/>
    <d v="2025-10-31T00:00:00"/>
    <n v="3"/>
    <n v="5"/>
    <n v="3"/>
    <n v="2"/>
  </r>
  <r>
    <s v="L1558"/>
    <x v="1"/>
    <x v="0"/>
    <x v="18"/>
    <x v="16"/>
    <x v="27"/>
    <x v="32"/>
    <x v="0"/>
    <x v="0"/>
    <d v="2025-11-12T00:00:00"/>
    <n v="1"/>
    <n v="4"/>
    <n v="2"/>
    <n v="6"/>
  </r>
  <r>
    <s v="L1559"/>
    <x v="1"/>
    <x v="1"/>
    <x v="25"/>
    <x v="2"/>
    <x v="2"/>
    <x v="2"/>
    <x v="1"/>
    <x v="2"/>
    <m/>
    <m/>
    <m/>
    <m/>
    <m/>
  </r>
  <r>
    <s v="L1560"/>
    <x v="3"/>
    <x v="0"/>
    <x v="24"/>
    <x v="17"/>
    <x v="23"/>
    <x v="19"/>
    <x v="0"/>
    <x v="0"/>
    <d v="2025-11-12T00:00:00"/>
    <n v="3"/>
    <n v="3"/>
    <n v="5"/>
    <n v="6"/>
  </r>
  <r>
    <s v="L1561"/>
    <x v="1"/>
    <x v="1"/>
    <x v="0"/>
    <x v="2"/>
    <x v="2"/>
    <x v="2"/>
    <x v="1"/>
    <x v="5"/>
    <m/>
    <m/>
    <m/>
    <m/>
    <m/>
  </r>
  <r>
    <s v="L1562"/>
    <x v="1"/>
    <x v="0"/>
    <x v="26"/>
    <x v="18"/>
    <x v="27"/>
    <x v="32"/>
    <x v="0"/>
    <x v="0"/>
    <d v="2025-11-15T00:00:00"/>
    <n v="1"/>
    <n v="2"/>
    <n v="2"/>
    <n v="1"/>
  </r>
  <r>
    <s v="L1563"/>
    <x v="3"/>
    <x v="2"/>
    <x v="20"/>
    <x v="34"/>
    <x v="4"/>
    <x v="23"/>
    <x v="0"/>
    <x v="0"/>
    <d v="2025-12-05T00:00:00"/>
    <n v="3"/>
    <n v="2"/>
    <n v="5"/>
    <n v="3"/>
  </r>
  <r>
    <s v="L1564"/>
    <x v="2"/>
    <x v="0"/>
    <x v="29"/>
    <x v="20"/>
    <x v="17"/>
    <x v="12"/>
    <x v="0"/>
    <x v="0"/>
    <d v="2025-11-19T00:00:00"/>
    <n v="2"/>
    <n v="3"/>
    <n v="6"/>
    <n v="4"/>
  </r>
  <r>
    <s v="L1565"/>
    <x v="2"/>
    <x v="2"/>
    <x v="24"/>
    <x v="27"/>
    <x v="30"/>
    <x v="16"/>
    <x v="0"/>
    <x v="0"/>
    <d v="2025-11-08T00:00:00"/>
    <n v="1"/>
    <n v="2"/>
    <n v="6"/>
    <n v="5"/>
  </r>
  <r>
    <s v="L1566"/>
    <x v="1"/>
    <x v="2"/>
    <x v="15"/>
    <x v="23"/>
    <x v="10"/>
    <x v="34"/>
    <x v="0"/>
    <x v="0"/>
    <d v="2025-12-02T00:00:00"/>
    <n v="5"/>
    <n v="4"/>
    <n v="2"/>
    <n v="3"/>
  </r>
  <r>
    <s v="L1567"/>
    <x v="1"/>
    <x v="1"/>
    <x v="25"/>
    <x v="2"/>
    <x v="2"/>
    <x v="2"/>
    <x v="1"/>
    <x v="5"/>
    <m/>
    <m/>
    <m/>
    <m/>
    <m/>
  </r>
  <r>
    <s v="L1568"/>
    <x v="2"/>
    <x v="0"/>
    <x v="4"/>
    <x v="7"/>
    <x v="24"/>
    <x v="1"/>
    <x v="0"/>
    <x v="0"/>
    <d v="2025-11-08T00:00:00"/>
    <n v="3"/>
    <n v="5"/>
    <n v="4"/>
    <n v="9"/>
  </r>
  <r>
    <s v="L1569"/>
    <x v="3"/>
    <x v="0"/>
    <x v="7"/>
    <x v="13"/>
    <x v="5"/>
    <x v="6"/>
    <x v="0"/>
    <x v="0"/>
    <d v="2025-10-25T00:00:00"/>
    <n v="2"/>
    <n v="2"/>
    <n v="7"/>
    <n v="4"/>
  </r>
  <r>
    <s v="L1570"/>
    <x v="1"/>
    <x v="2"/>
    <x v="22"/>
    <x v="25"/>
    <x v="15"/>
    <x v="13"/>
    <x v="0"/>
    <x v="0"/>
    <d v="2025-12-02T00:00:00"/>
    <n v="1"/>
    <n v="4"/>
    <n v="7"/>
    <n v="9"/>
  </r>
  <r>
    <s v="L1571"/>
    <x v="0"/>
    <x v="0"/>
    <x v="0"/>
    <x v="9"/>
    <x v="0"/>
    <x v="18"/>
    <x v="0"/>
    <x v="0"/>
    <d v="2025-11-26T00:00:00"/>
    <n v="3"/>
    <n v="5"/>
    <n v="7"/>
    <n v="2"/>
  </r>
  <r>
    <s v="L1572"/>
    <x v="3"/>
    <x v="2"/>
    <x v="12"/>
    <x v="28"/>
    <x v="31"/>
    <x v="4"/>
    <x v="0"/>
    <x v="0"/>
    <d v="2025-12-04T00:00:00"/>
    <n v="5"/>
    <n v="3"/>
    <n v="7"/>
    <n v="1"/>
  </r>
  <r>
    <s v="L1573"/>
    <x v="1"/>
    <x v="2"/>
    <x v="3"/>
    <x v="4"/>
    <x v="22"/>
    <x v="13"/>
    <x v="0"/>
    <x v="0"/>
    <d v="2025-12-06T00:00:00"/>
    <n v="3"/>
    <n v="3"/>
    <n v="3"/>
    <n v="7"/>
  </r>
  <r>
    <s v="L1574"/>
    <x v="1"/>
    <x v="0"/>
    <x v="7"/>
    <x v="13"/>
    <x v="13"/>
    <x v="28"/>
    <x v="0"/>
    <x v="0"/>
    <d v="2025-11-10T00:00:00"/>
    <n v="2"/>
    <n v="4"/>
    <n v="2"/>
    <n v="0"/>
  </r>
  <r>
    <s v="L1575"/>
    <x v="0"/>
    <x v="2"/>
    <x v="11"/>
    <x v="22"/>
    <x v="16"/>
    <x v="7"/>
    <x v="0"/>
    <x v="0"/>
    <d v="2025-11-23T00:00:00"/>
    <n v="4"/>
    <n v="4"/>
    <n v="2"/>
    <n v="10"/>
  </r>
  <r>
    <s v="L1576"/>
    <x v="0"/>
    <x v="0"/>
    <x v="14"/>
    <x v="21"/>
    <x v="23"/>
    <x v="12"/>
    <x v="0"/>
    <x v="0"/>
    <d v="2025-11-09T00:00:00"/>
    <n v="4"/>
    <n v="4"/>
    <n v="7"/>
    <n v="7"/>
  </r>
  <r>
    <s v="L1577"/>
    <x v="2"/>
    <x v="2"/>
    <x v="12"/>
    <x v="0"/>
    <x v="18"/>
    <x v="9"/>
    <x v="0"/>
    <x v="0"/>
    <d v="2025-11-18T00:00:00"/>
    <n v="2"/>
    <n v="2"/>
    <n v="3"/>
    <n v="3"/>
  </r>
  <r>
    <s v="L1578"/>
    <x v="3"/>
    <x v="2"/>
    <x v="29"/>
    <x v="20"/>
    <x v="17"/>
    <x v="31"/>
    <x v="0"/>
    <x v="0"/>
    <d v="2025-11-04T00:00:00"/>
    <n v="2"/>
    <n v="3"/>
    <n v="7"/>
    <n v="6"/>
  </r>
  <r>
    <s v="L1579"/>
    <x v="3"/>
    <x v="2"/>
    <x v="10"/>
    <x v="11"/>
    <x v="12"/>
    <x v="0"/>
    <x v="0"/>
    <x v="0"/>
    <d v="2025-11-28T00:00:00"/>
    <n v="1"/>
    <n v="2"/>
    <n v="2"/>
    <n v="9"/>
  </r>
  <r>
    <s v="L1580"/>
    <x v="2"/>
    <x v="0"/>
    <x v="2"/>
    <x v="6"/>
    <x v="36"/>
    <x v="30"/>
    <x v="0"/>
    <x v="0"/>
    <d v="2025-10-22T00:00:00"/>
    <n v="4"/>
    <n v="2"/>
    <n v="3"/>
    <n v="6"/>
  </r>
  <r>
    <s v="L1581"/>
    <x v="3"/>
    <x v="0"/>
    <x v="30"/>
    <x v="33"/>
    <x v="5"/>
    <x v="38"/>
    <x v="0"/>
    <x v="0"/>
    <d v="2025-11-02T00:00:00"/>
    <n v="1"/>
    <n v="5"/>
    <n v="5"/>
    <n v="3"/>
  </r>
  <r>
    <s v="L1582"/>
    <x v="3"/>
    <x v="0"/>
    <x v="1"/>
    <x v="1"/>
    <x v="11"/>
    <x v="31"/>
    <x v="0"/>
    <x v="0"/>
    <d v="2025-11-09T00:00:00"/>
    <n v="3"/>
    <n v="4"/>
    <n v="4"/>
    <n v="1"/>
  </r>
  <r>
    <s v="L1583"/>
    <x v="3"/>
    <x v="0"/>
    <x v="19"/>
    <x v="28"/>
    <x v="15"/>
    <x v="18"/>
    <x v="0"/>
    <x v="0"/>
    <d v="2025-12-05T00:00:00"/>
    <n v="2"/>
    <n v="2"/>
    <n v="6"/>
    <n v="5"/>
  </r>
  <r>
    <s v="L1584"/>
    <x v="3"/>
    <x v="0"/>
    <x v="30"/>
    <x v="33"/>
    <x v="5"/>
    <x v="25"/>
    <x v="1"/>
    <x v="3"/>
    <m/>
    <n v="1"/>
    <n v="5"/>
    <n v="6"/>
    <m/>
  </r>
  <r>
    <s v="L1585"/>
    <x v="3"/>
    <x v="2"/>
    <x v="29"/>
    <x v="20"/>
    <x v="21"/>
    <x v="22"/>
    <x v="0"/>
    <x v="0"/>
    <d v="2025-11-09T00:00:00"/>
    <n v="2"/>
    <n v="1"/>
    <n v="7"/>
    <n v="5"/>
  </r>
  <r>
    <s v="L1586"/>
    <x v="0"/>
    <x v="0"/>
    <x v="9"/>
    <x v="19"/>
    <x v="11"/>
    <x v="31"/>
    <x v="0"/>
    <x v="0"/>
    <d v="2025-11-09T00:00:00"/>
    <n v="1"/>
    <n v="5"/>
    <n v="4"/>
    <n v="8"/>
  </r>
  <r>
    <s v="L1587"/>
    <x v="3"/>
    <x v="1"/>
    <x v="9"/>
    <x v="2"/>
    <x v="2"/>
    <x v="2"/>
    <x v="1"/>
    <x v="3"/>
    <m/>
    <m/>
    <m/>
    <m/>
    <m/>
  </r>
  <r>
    <s v="L1588"/>
    <x v="0"/>
    <x v="0"/>
    <x v="4"/>
    <x v="7"/>
    <x v="11"/>
    <x v="12"/>
    <x v="1"/>
    <x v="5"/>
    <m/>
    <n v="3"/>
    <n v="1"/>
    <n v="3"/>
    <m/>
  </r>
  <r>
    <s v="L1589"/>
    <x v="3"/>
    <x v="0"/>
    <x v="13"/>
    <x v="30"/>
    <x v="37"/>
    <x v="38"/>
    <x v="0"/>
    <x v="0"/>
    <d v="2025-10-31T00:00:00"/>
    <n v="3"/>
    <n v="1"/>
    <n v="4"/>
    <n v="9"/>
  </r>
  <r>
    <s v="L1590"/>
    <x v="2"/>
    <x v="1"/>
    <x v="24"/>
    <x v="2"/>
    <x v="2"/>
    <x v="2"/>
    <x v="1"/>
    <x v="4"/>
    <m/>
    <m/>
    <m/>
    <m/>
    <m/>
  </r>
  <r>
    <s v="L1591"/>
    <x v="1"/>
    <x v="0"/>
    <x v="16"/>
    <x v="31"/>
    <x v="16"/>
    <x v="1"/>
    <x v="0"/>
    <x v="0"/>
    <d v="2025-11-25T00:00:00"/>
    <n v="5"/>
    <n v="1"/>
    <n v="3"/>
    <n v="0"/>
  </r>
  <r>
    <s v="L1592"/>
    <x v="0"/>
    <x v="2"/>
    <x v="4"/>
    <x v="3"/>
    <x v="1"/>
    <x v="1"/>
    <x v="1"/>
    <x v="1"/>
    <m/>
    <n v="4"/>
    <n v="1"/>
    <n v="7"/>
    <m/>
  </r>
  <r>
    <s v="L1593"/>
    <x v="3"/>
    <x v="0"/>
    <x v="23"/>
    <x v="9"/>
    <x v="8"/>
    <x v="17"/>
    <x v="0"/>
    <x v="0"/>
    <d v="2025-12-01T00:00:00"/>
    <n v="5"/>
    <n v="4"/>
    <n v="4"/>
    <n v="7"/>
  </r>
  <r>
    <s v="L1594"/>
    <x v="2"/>
    <x v="0"/>
    <x v="26"/>
    <x v="25"/>
    <x v="8"/>
    <x v="34"/>
    <x v="0"/>
    <x v="0"/>
    <d v="2025-11-23T00:00:00"/>
    <n v="4"/>
    <n v="2"/>
    <n v="7"/>
    <n v="2"/>
  </r>
  <r>
    <s v="L1595"/>
    <x v="1"/>
    <x v="0"/>
    <x v="19"/>
    <x v="23"/>
    <x v="31"/>
    <x v="26"/>
    <x v="0"/>
    <x v="0"/>
    <d v="2025-11-18T00:00:00"/>
    <n v="3"/>
    <n v="2"/>
    <n v="2"/>
    <n v="8"/>
  </r>
  <r>
    <s v="L1596"/>
    <x v="0"/>
    <x v="0"/>
    <x v="14"/>
    <x v="15"/>
    <x v="5"/>
    <x v="30"/>
    <x v="1"/>
    <x v="1"/>
    <m/>
    <n v="1"/>
    <n v="1"/>
    <n v="2"/>
    <m/>
  </r>
  <r>
    <s v="L1597"/>
    <x v="1"/>
    <x v="0"/>
    <x v="14"/>
    <x v="30"/>
    <x v="13"/>
    <x v="25"/>
    <x v="0"/>
    <x v="0"/>
    <d v="2025-10-28T00:00:00"/>
    <n v="2"/>
    <n v="2"/>
    <n v="4"/>
    <n v="3"/>
  </r>
  <r>
    <s v="L1598"/>
    <x v="2"/>
    <x v="0"/>
    <x v="14"/>
    <x v="27"/>
    <x v="13"/>
    <x v="6"/>
    <x v="0"/>
    <x v="0"/>
    <d v="2025-11-10T00:00:00"/>
    <n v="3"/>
    <n v="1"/>
    <n v="5"/>
    <n v="1"/>
  </r>
  <r>
    <s v="L1599"/>
    <x v="0"/>
    <x v="0"/>
    <x v="25"/>
    <x v="13"/>
    <x v="5"/>
    <x v="28"/>
    <x v="0"/>
    <x v="0"/>
    <d v="2025-10-29T00:00:00"/>
    <n v="3"/>
    <n v="2"/>
    <n v="4"/>
    <n v="4"/>
  </r>
  <r>
    <s v="L1600"/>
    <x v="1"/>
    <x v="1"/>
    <x v="18"/>
    <x v="2"/>
    <x v="2"/>
    <x v="2"/>
    <x v="1"/>
    <x v="5"/>
    <m/>
    <m/>
    <m/>
    <m/>
    <m/>
  </r>
  <r>
    <s v="L1601"/>
    <x v="3"/>
    <x v="0"/>
    <x v="3"/>
    <x v="23"/>
    <x v="22"/>
    <x v="23"/>
    <x v="0"/>
    <x v="0"/>
    <d v="2025-11-20T00:00:00"/>
    <n v="1"/>
    <n v="5"/>
    <n v="6"/>
    <n v="3"/>
  </r>
  <r>
    <s v="L1602"/>
    <x v="0"/>
    <x v="2"/>
    <x v="27"/>
    <x v="24"/>
    <x v="6"/>
    <x v="31"/>
    <x v="0"/>
    <x v="0"/>
    <d v="2025-11-20T00:00:00"/>
    <n v="3"/>
    <n v="4"/>
    <n v="2"/>
    <n v="8"/>
  </r>
  <r>
    <s v="L1603"/>
    <x v="1"/>
    <x v="0"/>
    <x v="18"/>
    <x v="18"/>
    <x v="26"/>
    <x v="9"/>
    <x v="0"/>
    <x v="0"/>
    <d v="2025-11-21T00:00:00"/>
    <n v="3"/>
    <n v="3"/>
    <n v="4"/>
    <n v="6"/>
  </r>
  <r>
    <s v="L1604"/>
    <x v="2"/>
    <x v="2"/>
    <x v="26"/>
    <x v="18"/>
    <x v="28"/>
    <x v="24"/>
    <x v="0"/>
    <x v="0"/>
    <d v="2025-11-20T00:00:00"/>
    <n v="1"/>
    <n v="1"/>
    <n v="7"/>
    <n v="9"/>
  </r>
  <r>
    <s v="L1605"/>
    <x v="2"/>
    <x v="0"/>
    <x v="24"/>
    <x v="17"/>
    <x v="20"/>
    <x v="31"/>
    <x v="0"/>
    <x v="0"/>
    <d v="2025-11-05T00:00:00"/>
    <n v="3"/>
    <n v="5"/>
    <n v="6"/>
    <n v="3"/>
  </r>
  <r>
    <s v="L1606"/>
    <x v="0"/>
    <x v="0"/>
    <x v="6"/>
    <x v="5"/>
    <x v="27"/>
    <x v="17"/>
    <x v="0"/>
    <x v="0"/>
    <d v="2025-11-11T00:00:00"/>
    <n v="4"/>
    <n v="5"/>
    <n v="7"/>
    <n v="2"/>
  </r>
  <r>
    <s v="L1607"/>
    <x v="1"/>
    <x v="2"/>
    <x v="20"/>
    <x v="35"/>
    <x v="38"/>
    <x v="23"/>
    <x v="0"/>
    <x v="0"/>
    <d v="2025-12-09T00:00:00"/>
    <n v="4"/>
    <n v="4"/>
    <n v="2"/>
    <n v="4"/>
  </r>
  <r>
    <s v="L1608"/>
    <x v="0"/>
    <x v="0"/>
    <x v="23"/>
    <x v="18"/>
    <x v="18"/>
    <x v="17"/>
    <x v="0"/>
    <x v="0"/>
    <d v="2025-11-26T00:00:00"/>
    <n v="4"/>
    <n v="4"/>
    <n v="5"/>
    <n v="0"/>
  </r>
  <r>
    <s v="L1609"/>
    <x v="0"/>
    <x v="2"/>
    <x v="13"/>
    <x v="27"/>
    <x v="13"/>
    <x v="6"/>
    <x v="0"/>
    <x v="0"/>
    <d v="2025-11-03T00:00:00"/>
    <n v="4"/>
    <n v="1"/>
    <n v="5"/>
    <n v="1"/>
  </r>
  <r>
    <s v="L1610"/>
    <x v="1"/>
    <x v="2"/>
    <x v="24"/>
    <x v="17"/>
    <x v="14"/>
    <x v="27"/>
    <x v="0"/>
    <x v="0"/>
    <d v="2025-11-05T00:00:00"/>
    <n v="3"/>
    <n v="1"/>
    <n v="6"/>
    <n v="1"/>
  </r>
  <r>
    <s v="L1611"/>
    <x v="1"/>
    <x v="0"/>
    <x v="11"/>
    <x v="7"/>
    <x v="24"/>
    <x v="1"/>
    <x v="0"/>
    <x v="0"/>
    <d v="2025-11-18T00:00:00"/>
    <n v="2"/>
    <n v="5"/>
    <n v="4"/>
    <n v="2"/>
  </r>
  <r>
    <s v="L1612"/>
    <x v="3"/>
    <x v="0"/>
    <x v="0"/>
    <x v="0"/>
    <x v="15"/>
    <x v="17"/>
    <x v="0"/>
    <x v="0"/>
    <d v="2025-11-23T00:00:00"/>
    <n v="4"/>
    <n v="5"/>
    <n v="2"/>
    <n v="8"/>
  </r>
  <r>
    <s v="L1613"/>
    <x v="1"/>
    <x v="1"/>
    <x v="17"/>
    <x v="2"/>
    <x v="2"/>
    <x v="2"/>
    <x v="1"/>
    <x v="5"/>
    <m/>
    <m/>
    <m/>
    <m/>
    <m/>
  </r>
  <r>
    <s v="L1614"/>
    <x v="2"/>
    <x v="0"/>
    <x v="11"/>
    <x v="22"/>
    <x v="16"/>
    <x v="5"/>
    <x v="0"/>
    <x v="0"/>
    <d v="2025-11-19T00:00:00"/>
    <n v="4"/>
    <n v="4"/>
    <n v="5"/>
    <n v="6"/>
  </r>
  <r>
    <s v="L1615"/>
    <x v="0"/>
    <x v="0"/>
    <x v="17"/>
    <x v="20"/>
    <x v="21"/>
    <x v="19"/>
    <x v="0"/>
    <x v="0"/>
    <d v="2025-10-30T00:00:00"/>
    <n v="3"/>
    <n v="1"/>
    <n v="6"/>
    <n v="6"/>
  </r>
  <r>
    <s v="L1616"/>
    <x v="0"/>
    <x v="0"/>
    <x v="26"/>
    <x v="12"/>
    <x v="8"/>
    <x v="24"/>
    <x v="0"/>
    <x v="0"/>
    <d v="2025-11-28T00:00:00"/>
    <n v="5"/>
    <n v="1"/>
    <n v="3"/>
    <n v="3"/>
  </r>
  <r>
    <s v="L1617"/>
    <x v="2"/>
    <x v="2"/>
    <x v="2"/>
    <x v="26"/>
    <x v="37"/>
    <x v="38"/>
    <x v="0"/>
    <x v="0"/>
    <d v="2025-11-10T00:00:00"/>
    <n v="3"/>
    <n v="5"/>
    <n v="4"/>
    <n v="4"/>
  </r>
  <r>
    <s v="L1618"/>
    <x v="1"/>
    <x v="1"/>
    <x v="10"/>
    <x v="2"/>
    <x v="2"/>
    <x v="2"/>
    <x v="1"/>
    <x v="5"/>
    <m/>
    <m/>
    <m/>
    <m/>
    <m/>
  </r>
  <r>
    <s v="L1619"/>
    <x v="2"/>
    <x v="0"/>
    <x v="19"/>
    <x v="12"/>
    <x v="15"/>
    <x v="26"/>
    <x v="1"/>
    <x v="4"/>
    <m/>
    <n v="1"/>
    <n v="3"/>
    <n v="3"/>
    <m/>
  </r>
  <r>
    <s v="L1620"/>
    <x v="2"/>
    <x v="0"/>
    <x v="11"/>
    <x v="22"/>
    <x v="28"/>
    <x v="5"/>
    <x v="1"/>
    <x v="3"/>
    <m/>
    <n v="4"/>
    <n v="5"/>
    <n v="4"/>
    <m/>
  </r>
  <r>
    <s v="L1621"/>
    <x v="3"/>
    <x v="2"/>
    <x v="10"/>
    <x v="11"/>
    <x v="10"/>
    <x v="34"/>
    <x v="0"/>
    <x v="0"/>
    <d v="2025-11-20T00:00:00"/>
    <n v="1"/>
    <n v="3"/>
    <n v="2"/>
    <n v="6"/>
  </r>
  <r>
    <s v="L1622"/>
    <x v="2"/>
    <x v="0"/>
    <x v="29"/>
    <x v="1"/>
    <x v="17"/>
    <x v="12"/>
    <x v="0"/>
    <x v="0"/>
    <d v="2025-11-10T00:00:00"/>
    <n v="4"/>
    <n v="1"/>
    <n v="6"/>
    <n v="9"/>
  </r>
  <r>
    <s v="L1623"/>
    <x v="0"/>
    <x v="0"/>
    <x v="26"/>
    <x v="12"/>
    <x v="12"/>
    <x v="11"/>
    <x v="0"/>
    <x v="0"/>
    <d v="2025-11-25T00:00:00"/>
    <n v="5"/>
    <n v="5"/>
    <n v="7"/>
    <n v="8"/>
  </r>
  <r>
    <s v="L1624"/>
    <x v="2"/>
    <x v="1"/>
    <x v="21"/>
    <x v="2"/>
    <x v="2"/>
    <x v="2"/>
    <x v="1"/>
    <x v="5"/>
    <m/>
    <m/>
    <m/>
    <m/>
    <m/>
  </r>
  <r>
    <s v="L1625"/>
    <x v="0"/>
    <x v="2"/>
    <x v="14"/>
    <x v="30"/>
    <x v="14"/>
    <x v="19"/>
    <x v="0"/>
    <x v="0"/>
    <d v="2025-11-15T00:00:00"/>
    <n v="2"/>
    <n v="4"/>
    <n v="7"/>
    <n v="0"/>
  </r>
  <r>
    <s v="L1626"/>
    <x v="0"/>
    <x v="0"/>
    <x v="25"/>
    <x v="30"/>
    <x v="13"/>
    <x v="28"/>
    <x v="0"/>
    <x v="0"/>
    <d v="2025-11-11T00:00:00"/>
    <n v="5"/>
    <n v="2"/>
    <n v="2"/>
    <n v="1"/>
  </r>
  <r>
    <s v="L1627"/>
    <x v="0"/>
    <x v="1"/>
    <x v="11"/>
    <x v="2"/>
    <x v="2"/>
    <x v="2"/>
    <x v="1"/>
    <x v="5"/>
    <m/>
    <m/>
    <m/>
    <m/>
    <m/>
  </r>
  <r>
    <s v="L1628"/>
    <x v="1"/>
    <x v="0"/>
    <x v="8"/>
    <x v="35"/>
    <x v="4"/>
    <x v="4"/>
    <x v="1"/>
    <x v="2"/>
    <m/>
    <n v="3"/>
    <n v="1"/>
    <n v="3"/>
    <m/>
  </r>
  <r>
    <s v="L1629"/>
    <x v="3"/>
    <x v="0"/>
    <x v="9"/>
    <x v="14"/>
    <x v="20"/>
    <x v="15"/>
    <x v="0"/>
    <x v="0"/>
    <d v="2025-11-17T00:00:00"/>
    <n v="3"/>
    <n v="1"/>
    <n v="7"/>
    <n v="3"/>
  </r>
  <r>
    <s v="L1630"/>
    <x v="0"/>
    <x v="2"/>
    <x v="23"/>
    <x v="5"/>
    <x v="27"/>
    <x v="24"/>
    <x v="0"/>
    <x v="0"/>
    <d v="2025-11-21T00:00:00"/>
    <n v="1"/>
    <n v="5"/>
    <n v="6"/>
    <n v="1"/>
  </r>
  <r>
    <s v="L1631"/>
    <x v="0"/>
    <x v="1"/>
    <x v="29"/>
    <x v="2"/>
    <x v="2"/>
    <x v="2"/>
    <x v="1"/>
    <x v="4"/>
    <m/>
    <m/>
    <m/>
    <m/>
    <m/>
  </r>
  <r>
    <s v="L1632"/>
    <x v="1"/>
    <x v="2"/>
    <x v="0"/>
    <x v="31"/>
    <x v="28"/>
    <x v="1"/>
    <x v="0"/>
    <x v="0"/>
    <d v="2025-11-21T00:00:00"/>
    <n v="1"/>
    <n v="2"/>
    <n v="2"/>
    <n v="9"/>
  </r>
  <r>
    <s v="L1633"/>
    <x v="0"/>
    <x v="0"/>
    <x v="8"/>
    <x v="35"/>
    <x v="7"/>
    <x v="4"/>
    <x v="0"/>
    <x v="0"/>
    <d v="2025-11-26T00:00:00"/>
    <n v="3"/>
    <n v="2"/>
    <n v="2"/>
    <n v="3"/>
  </r>
  <r>
    <s v="L1634"/>
    <x v="2"/>
    <x v="0"/>
    <x v="4"/>
    <x v="7"/>
    <x v="1"/>
    <x v="12"/>
    <x v="0"/>
    <x v="0"/>
    <d v="2025-11-05T00:00:00"/>
    <n v="3"/>
    <n v="2"/>
    <n v="2"/>
    <n v="5"/>
  </r>
  <r>
    <s v="L1635"/>
    <x v="2"/>
    <x v="2"/>
    <x v="12"/>
    <x v="25"/>
    <x v="31"/>
    <x v="0"/>
    <x v="1"/>
    <x v="5"/>
    <m/>
    <n v="3"/>
    <n v="5"/>
    <n v="3"/>
    <m/>
  </r>
  <r>
    <s v="L1636"/>
    <x v="3"/>
    <x v="0"/>
    <x v="17"/>
    <x v="19"/>
    <x v="11"/>
    <x v="22"/>
    <x v="0"/>
    <x v="0"/>
    <d v="2025-11-16T00:00:00"/>
    <n v="4"/>
    <n v="5"/>
    <n v="2"/>
    <n v="3"/>
  </r>
  <r>
    <s v="L1637"/>
    <x v="0"/>
    <x v="2"/>
    <x v="11"/>
    <x v="5"/>
    <x v="16"/>
    <x v="5"/>
    <x v="0"/>
    <x v="0"/>
    <d v="2025-11-12T00:00:00"/>
    <n v="5"/>
    <n v="3"/>
    <n v="5"/>
    <n v="2"/>
  </r>
  <r>
    <s v="L1638"/>
    <x v="1"/>
    <x v="2"/>
    <x v="3"/>
    <x v="10"/>
    <x v="4"/>
    <x v="11"/>
    <x v="0"/>
    <x v="0"/>
    <d v="2025-11-27T00:00:00"/>
    <n v="4"/>
    <n v="3"/>
    <n v="4"/>
    <n v="1"/>
  </r>
  <r>
    <s v="L1639"/>
    <x v="2"/>
    <x v="0"/>
    <x v="29"/>
    <x v="20"/>
    <x v="17"/>
    <x v="22"/>
    <x v="0"/>
    <x v="0"/>
    <d v="2025-11-02T00:00:00"/>
    <n v="2"/>
    <n v="3"/>
    <n v="5"/>
    <n v="8"/>
  </r>
  <r>
    <s v="L1640"/>
    <x v="1"/>
    <x v="1"/>
    <x v="28"/>
    <x v="2"/>
    <x v="2"/>
    <x v="2"/>
    <x v="1"/>
    <x v="2"/>
    <m/>
    <m/>
    <m/>
    <m/>
    <m/>
  </r>
  <r>
    <s v="L1641"/>
    <x v="1"/>
    <x v="0"/>
    <x v="27"/>
    <x v="7"/>
    <x v="3"/>
    <x v="3"/>
    <x v="0"/>
    <x v="0"/>
    <d v="2025-11-18T00:00:00"/>
    <n v="4"/>
    <n v="4"/>
    <n v="3"/>
    <n v="9"/>
  </r>
  <r>
    <s v="L1642"/>
    <x v="2"/>
    <x v="0"/>
    <x v="3"/>
    <x v="4"/>
    <x v="12"/>
    <x v="34"/>
    <x v="0"/>
    <x v="0"/>
    <d v="2025-11-18T00:00:00"/>
    <n v="3"/>
    <n v="1"/>
    <n v="3"/>
    <n v="4"/>
  </r>
  <r>
    <s v="L1643"/>
    <x v="1"/>
    <x v="2"/>
    <x v="6"/>
    <x v="5"/>
    <x v="16"/>
    <x v="7"/>
    <x v="0"/>
    <x v="0"/>
    <d v="2025-11-12T00:00:00"/>
    <n v="4"/>
    <n v="3"/>
    <n v="2"/>
    <n v="4"/>
  </r>
  <r>
    <s v="L1644"/>
    <x v="2"/>
    <x v="2"/>
    <x v="7"/>
    <x v="6"/>
    <x v="37"/>
    <x v="6"/>
    <x v="0"/>
    <x v="0"/>
    <d v="2025-11-11T00:00:00"/>
    <n v="1"/>
    <n v="4"/>
    <n v="6"/>
    <n v="1"/>
  </r>
  <r>
    <s v="L1645"/>
    <x v="1"/>
    <x v="2"/>
    <x v="24"/>
    <x v="17"/>
    <x v="17"/>
    <x v="31"/>
    <x v="0"/>
    <x v="0"/>
    <d v="2025-11-06T00:00:00"/>
    <n v="3"/>
    <n v="4"/>
    <n v="7"/>
    <n v="0"/>
  </r>
  <r>
    <s v="L1646"/>
    <x v="2"/>
    <x v="2"/>
    <x v="27"/>
    <x v="3"/>
    <x v="16"/>
    <x v="9"/>
    <x v="0"/>
    <x v="0"/>
    <d v="2025-11-19T00:00:00"/>
    <n v="5"/>
    <n v="5"/>
    <n v="7"/>
    <n v="6"/>
  </r>
  <r>
    <s v="L1647"/>
    <x v="0"/>
    <x v="0"/>
    <x v="23"/>
    <x v="18"/>
    <x v="27"/>
    <x v="17"/>
    <x v="0"/>
    <x v="0"/>
    <d v="2025-12-01T00:00:00"/>
    <n v="4"/>
    <n v="2"/>
    <n v="7"/>
    <n v="5"/>
  </r>
  <r>
    <s v="L1648"/>
    <x v="3"/>
    <x v="0"/>
    <x v="9"/>
    <x v="14"/>
    <x v="25"/>
    <x v="31"/>
    <x v="0"/>
    <x v="0"/>
    <d v="2025-11-03T00:00:00"/>
    <n v="3"/>
    <n v="2"/>
    <n v="5"/>
    <n v="0"/>
  </r>
  <r>
    <s v="L1649"/>
    <x v="2"/>
    <x v="0"/>
    <x v="23"/>
    <x v="5"/>
    <x v="16"/>
    <x v="1"/>
    <x v="1"/>
    <x v="1"/>
    <m/>
    <n v="1"/>
    <n v="3"/>
    <n v="3"/>
    <m/>
  </r>
  <r>
    <s v="L1650"/>
    <x v="2"/>
    <x v="2"/>
    <x v="29"/>
    <x v="17"/>
    <x v="14"/>
    <x v="14"/>
    <x v="1"/>
    <x v="5"/>
    <m/>
    <n v="1"/>
    <n v="1"/>
    <n v="4"/>
    <m/>
  </r>
  <r>
    <s v="L1651"/>
    <x v="3"/>
    <x v="0"/>
    <x v="12"/>
    <x v="12"/>
    <x v="8"/>
    <x v="24"/>
    <x v="1"/>
    <x v="5"/>
    <m/>
    <n v="4"/>
    <n v="1"/>
    <n v="3"/>
    <m/>
  </r>
  <r>
    <s v="L1652"/>
    <x v="2"/>
    <x v="1"/>
    <x v="29"/>
    <x v="2"/>
    <x v="2"/>
    <x v="2"/>
    <x v="1"/>
    <x v="2"/>
    <m/>
    <m/>
    <m/>
    <m/>
    <m/>
  </r>
  <r>
    <s v="L1653"/>
    <x v="2"/>
    <x v="2"/>
    <x v="2"/>
    <x v="26"/>
    <x v="32"/>
    <x v="30"/>
    <x v="0"/>
    <x v="0"/>
    <d v="2025-10-27T00:00:00"/>
    <n v="3"/>
    <n v="1"/>
    <n v="5"/>
    <n v="3"/>
  </r>
  <r>
    <s v="L1654"/>
    <x v="1"/>
    <x v="1"/>
    <x v="5"/>
    <x v="2"/>
    <x v="2"/>
    <x v="2"/>
    <x v="1"/>
    <x v="4"/>
    <m/>
    <m/>
    <m/>
    <m/>
    <m/>
  </r>
  <r>
    <s v="L1655"/>
    <x v="3"/>
    <x v="1"/>
    <x v="26"/>
    <x v="2"/>
    <x v="2"/>
    <x v="2"/>
    <x v="1"/>
    <x v="5"/>
    <m/>
    <m/>
    <m/>
    <m/>
    <m/>
  </r>
  <r>
    <s v="L1656"/>
    <x v="0"/>
    <x v="2"/>
    <x v="27"/>
    <x v="3"/>
    <x v="24"/>
    <x v="21"/>
    <x v="0"/>
    <x v="0"/>
    <d v="2025-11-19T00:00:00"/>
    <n v="5"/>
    <n v="4"/>
    <n v="7"/>
    <n v="2"/>
  </r>
  <r>
    <s v="L1657"/>
    <x v="2"/>
    <x v="0"/>
    <x v="17"/>
    <x v="17"/>
    <x v="17"/>
    <x v="19"/>
    <x v="1"/>
    <x v="1"/>
    <m/>
    <n v="2"/>
    <n v="4"/>
    <n v="4"/>
    <m/>
  </r>
  <r>
    <s v="L1658"/>
    <x v="3"/>
    <x v="0"/>
    <x v="2"/>
    <x v="29"/>
    <x v="29"/>
    <x v="30"/>
    <x v="1"/>
    <x v="5"/>
    <m/>
    <n v="1"/>
    <n v="4"/>
    <n v="4"/>
    <m/>
  </r>
  <r>
    <s v="L1659"/>
    <x v="1"/>
    <x v="0"/>
    <x v="23"/>
    <x v="16"/>
    <x v="26"/>
    <x v="5"/>
    <x v="0"/>
    <x v="0"/>
    <d v="2025-11-14T00:00:00"/>
    <n v="2"/>
    <n v="5"/>
    <n v="2"/>
    <n v="2"/>
  </r>
  <r>
    <s v="L1660"/>
    <x v="0"/>
    <x v="0"/>
    <x v="3"/>
    <x v="34"/>
    <x v="9"/>
    <x v="39"/>
    <x v="0"/>
    <x v="0"/>
    <d v="2025-12-01T00:00:00"/>
    <n v="5"/>
    <n v="4"/>
    <n v="6"/>
    <n v="1"/>
  </r>
  <r>
    <s v="L1661"/>
    <x v="3"/>
    <x v="0"/>
    <x v="26"/>
    <x v="25"/>
    <x v="18"/>
    <x v="24"/>
    <x v="0"/>
    <x v="0"/>
    <d v="2025-11-23T00:00:00"/>
    <n v="4"/>
    <n v="1"/>
    <n v="4"/>
    <n v="9"/>
  </r>
  <r>
    <s v="L1662"/>
    <x v="0"/>
    <x v="0"/>
    <x v="22"/>
    <x v="25"/>
    <x v="18"/>
    <x v="21"/>
    <x v="0"/>
    <x v="0"/>
    <d v="2025-11-18T00:00:00"/>
    <n v="1"/>
    <n v="1"/>
    <n v="2"/>
    <n v="5"/>
  </r>
  <r>
    <s v="L1663"/>
    <x v="0"/>
    <x v="0"/>
    <x v="15"/>
    <x v="25"/>
    <x v="8"/>
    <x v="0"/>
    <x v="0"/>
    <x v="0"/>
    <d v="2025-11-24T00:00:00"/>
    <n v="2"/>
    <n v="2"/>
    <n v="6"/>
    <n v="4"/>
  </r>
  <r>
    <s v="L1664"/>
    <x v="0"/>
    <x v="0"/>
    <x v="30"/>
    <x v="33"/>
    <x v="34"/>
    <x v="42"/>
    <x v="0"/>
    <x v="0"/>
    <d v="2025-10-29T00:00:00"/>
    <n v="1"/>
    <n v="1"/>
    <n v="7"/>
    <n v="9"/>
  </r>
  <r>
    <s v="L1665"/>
    <x v="2"/>
    <x v="0"/>
    <x v="20"/>
    <x v="10"/>
    <x v="7"/>
    <x v="4"/>
    <x v="0"/>
    <x v="0"/>
    <d v="2025-12-05T00:00:00"/>
    <n v="2"/>
    <n v="4"/>
    <n v="2"/>
    <n v="2"/>
  </r>
  <r>
    <s v="L1666"/>
    <x v="2"/>
    <x v="0"/>
    <x v="18"/>
    <x v="18"/>
    <x v="18"/>
    <x v="9"/>
    <x v="0"/>
    <x v="0"/>
    <d v="2025-11-18T00:00:00"/>
    <n v="3"/>
    <n v="4"/>
    <n v="3"/>
    <n v="7"/>
  </r>
  <r>
    <s v="L1667"/>
    <x v="1"/>
    <x v="0"/>
    <x v="15"/>
    <x v="12"/>
    <x v="15"/>
    <x v="26"/>
    <x v="0"/>
    <x v="0"/>
    <d v="2025-11-26T00:00:00"/>
    <n v="3"/>
    <n v="3"/>
    <n v="3"/>
    <n v="0"/>
  </r>
  <r>
    <s v="L1668"/>
    <x v="1"/>
    <x v="2"/>
    <x v="6"/>
    <x v="5"/>
    <x v="27"/>
    <x v="24"/>
    <x v="0"/>
    <x v="0"/>
    <d v="2025-11-13T00:00:00"/>
    <n v="4"/>
    <n v="5"/>
    <n v="6"/>
    <n v="2"/>
  </r>
  <r>
    <s v="L1669"/>
    <x v="3"/>
    <x v="2"/>
    <x v="5"/>
    <x v="10"/>
    <x v="10"/>
    <x v="34"/>
    <x v="1"/>
    <x v="1"/>
    <m/>
    <n v="5"/>
    <n v="1"/>
    <n v="2"/>
    <m/>
  </r>
  <r>
    <s v="L1670"/>
    <x v="1"/>
    <x v="1"/>
    <x v="10"/>
    <x v="2"/>
    <x v="2"/>
    <x v="2"/>
    <x v="1"/>
    <x v="3"/>
    <m/>
    <m/>
    <m/>
    <m/>
    <m/>
  </r>
  <r>
    <s v="L1671"/>
    <x v="0"/>
    <x v="0"/>
    <x v="10"/>
    <x v="11"/>
    <x v="4"/>
    <x v="23"/>
    <x v="0"/>
    <x v="0"/>
    <d v="2025-12-04T00:00:00"/>
    <n v="1"/>
    <n v="5"/>
    <n v="5"/>
    <n v="0"/>
  </r>
  <r>
    <s v="L1672"/>
    <x v="0"/>
    <x v="2"/>
    <x v="29"/>
    <x v="14"/>
    <x v="20"/>
    <x v="27"/>
    <x v="0"/>
    <x v="0"/>
    <d v="2025-10-29T00:00:00"/>
    <n v="5"/>
    <n v="1"/>
    <n v="2"/>
    <n v="6"/>
  </r>
  <r>
    <s v="L1673"/>
    <x v="2"/>
    <x v="2"/>
    <x v="22"/>
    <x v="12"/>
    <x v="0"/>
    <x v="0"/>
    <x v="0"/>
    <x v="0"/>
    <d v="2025-12-03T00:00:00"/>
    <n v="2"/>
    <n v="2"/>
    <n v="5"/>
    <n v="10"/>
  </r>
  <r>
    <s v="L1674"/>
    <x v="0"/>
    <x v="2"/>
    <x v="19"/>
    <x v="11"/>
    <x v="12"/>
    <x v="18"/>
    <x v="0"/>
    <x v="0"/>
    <d v="2025-12-03T00:00:00"/>
    <n v="4"/>
    <n v="2"/>
    <n v="4"/>
    <n v="8"/>
  </r>
  <r>
    <s v="L1675"/>
    <x v="3"/>
    <x v="1"/>
    <x v="24"/>
    <x v="2"/>
    <x v="2"/>
    <x v="2"/>
    <x v="1"/>
    <x v="3"/>
    <m/>
    <m/>
    <m/>
    <m/>
    <m/>
  </r>
  <r>
    <s v="L1676"/>
    <x v="0"/>
    <x v="0"/>
    <x v="18"/>
    <x v="18"/>
    <x v="8"/>
    <x v="17"/>
    <x v="0"/>
    <x v="0"/>
    <d v="2025-11-29T00:00:00"/>
    <n v="3"/>
    <n v="5"/>
    <n v="4"/>
    <n v="10"/>
  </r>
  <r>
    <s v="L1677"/>
    <x v="0"/>
    <x v="1"/>
    <x v="19"/>
    <x v="2"/>
    <x v="2"/>
    <x v="2"/>
    <x v="1"/>
    <x v="1"/>
    <m/>
    <m/>
    <m/>
    <m/>
    <m/>
  </r>
  <r>
    <s v="L1678"/>
    <x v="3"/>
    <x v="0"/>
    <x v="9"/>
    <x v="14"/>
    <x v="1"/>
    <x v="15"/>
    <x v="1"/>
    <x v="4"/>
    <m/>
    <n v="3"/>
    <n v="4"/>
    <n v="4"/>
    <m/>
  </r>
  <r>
    <s v="L1679"/>
    <x v="1"/>
    <x v="0"/>
    <x v="24"/>
    <x v="20"/>
    <x v="17"/>
    <x v="16"/>
    <x v="0"/>
    <x v="0"/>
    <d v="2025-11-15T00:00:00"/>
    <n v="4"/>
    <n v="3"/>
    <n v="2"/>
    <n v="10"/>
  </r>
  <r>
    <s v="L1680"/>
    <x v="1"/>
    <x v="0"/>
    <x v="0"/>
    <x v="31"/>
    <x v="16"/>
    <x v="21"/>
    <x v="0"/>
    <x v="0"/>
    <d v="2025-11-10T00:00:00"/>
    <n v="1"/>
    <n v="1"/>
    <n v="6"/>
    <n v="2"/>
  </r>
  <r>
    <s v="L1681"/>
    <x v="3"/>
    <x v="0"/>
    <x v="28"/>
    <x v="20"/>
    <x v="21"/>
    <x v="27"/>
    <x v="0"/>
    <x v="0"/>
    <d v="2025-11-12T00:00:00"/>
    <n v="5"/>
    <n v="1"/>
    <n v="5"/>
    <n v="9"/>
  </r>
  <r>
    <s v="L1682"/>
    <x v="2"/>
    <x v="2"/>
    <x v="18"/>
    <x v="31"/>
    <x v="27"/>
    <x v="32"/>
    <x v="0"/>
    <x v="0"/>
    <d v="2025-11-12T00:00:00"/>
    <n v="2"/>
    <n v="3"/>
    <n v="2"/>
    <n v="8"/>
  </r>
  <r>
    <s v="L1683"/>
    <x v="0"/>
    <x v="1"/>
    <x v="17"/>
    <x v="2"/>
    <x v="2"/>
    <x v="2"/>
    <x v="1"/>
    <x v="5"/>
    <m/>
    <m/>
    <m/>
    <m/>
    <m/>
  </r>
  <r>
    <s v="L1684"/>
    <x v="3"/>
    <x v="1"/>
    <x v="26"/>
    <x v="2"/>
    <x v="2"/>
    <x v="2"/>
    <x v="1"/>
    <x v="5"/>
    <m/>
    <m/>
    <m/>
    <m/>
    <m/>
  </r>
  <r>
    <s v="L1685"/>
    <x v="0"/>
    <x v="0"/>
    <x v="22"/>
    <x v="11"/>
    <x v="4"/>
    <x v="11"/>
    <x v="0"/>
    <x v="0"/>
    <d v="2025-12-04T00:00:00"/>
    <n v="5"/>
    <n v="5"/>
    <n v="4"/>
    <n v="5"/>
  </r>
  <r>
    <s v="L1686"/>
    <x v="2"/>
    <x v="1"/>
    <x v="15"/>
    <x v="2"/>
    <x v="2"/>
    <x v="2"/>
    <x v="1"/>
    <x v="3"/>
    <m/>
    <m/>
    <m/>
    <m/>
    <m/>
  </r>
  <r>
    <s v="L1687"/>
    <x v="0"/>
    <x v="1"/>
    <x v="22"/>
    <x v="2"/>
    <x v="2"/>
    <x v="2"/>
    <x v="1"/>
    <x v="1"/>
    <m/>
    <m/>
    <m/>
    <m/>
    <m/>
  </r>
  <r>
    <s v="L1688"/>
    <x v="3"/>
    <x v="0"/>
    <x v="26"/>
    <x v="0"/>
    <x v="15"/>
    <x v="26"/>
    <x v="0"/>
    <x v="0"/>
    <d v="2025-11-15T00:00:00"/>
    <n v="3"/>
    <n v="5"/>
    <n v="3"/>
    <n v="5"/>
  </r>
  <r>
    <s v="L1689"/>
    <x v="0"/>
    <x v="2"/>
    <x v="26"/>
    <x v="25"/>
    <x v="18"/>
    <x v="24"/>
    <x v="0"/>
    <x v="0"/>
    <d v="2025-11-22T00:00:00"/>
    <n v="4"/>
    <n v="1"/>
    <n v="4"/>
    <n v="2"/>
  </r>
  <r>
    <s v="L1690"/>
    <x v="1"/>
    <x v="0"/>
    <x v="5"/>
    <x v="11"/>
    <x v="12"/>
    <x v="4"/>
    <x v="0"/>
    <x v="0"/>
    <d v="2025-12-03T00:00:00"/>
    <n v="3"/>
    <n v="2"/>
    <n v="6"/>
    <n v="7"/>
  </r>
  <r>
    <s v="L1691"/>
    <x v="2"/>
    <x v="0"/>
    <x v="13"/>
    <x v="30"/>
    <x v="30"/>
    <x v="6"/>
    <x v="0"/>
    <x v="0"/>
    <d v="2025-11-03T00:00:00"/>
    <n v="3"/>
    <n v="3"/>
    <n v="4"/>
    <n v="3"/>
  </r>
  <r>
    <s v="L1692"/>
    <x v="2"/>
    <x v="2"/>
    <x v="0"/>
    <x v="18"/>
    <x v="28"/>
    <x v="24"/>
    <x v="0"/>
    <x v="0"/>
    <d v="2025-11-23T00:00:00"/>
    <n v="2"/>
    <n v="1"/>
    <n v="7"/>
    <n v="8"/>
  </r>
  <r>
    <s v="L1693"/>
    <x v="2"/>
    <x v="2"/>
    <x v="7"/>
    <x v="6"/>
    <x v="36"/>
    <x v="38"/>
    <x v="0"/>
    <x v="0"/>
    <d v="2025-10-24T00:00:00"/>
    <n v="1"/>
    <n v="2"/>
    <n v="6"/>
    <n v="7"/>
  </r>
  <r>
    <s v="L1694"/>
    <x v="3"/>
    <x v="0"/>
    <x v="10"/>
    <x v="11"/>
    <x v="4"/>
    <x v="4"/>
    <x v="0"/>
    <x v="0"/>
    <d v="2025-11-21T00:00:00"/>
    <n v="1"/>
    <n v="5"/>
    <n v="3"/>
    <n v="2"/>
  </r>
  <r>
    <s v="L1695"/>
    <x v="2"/>
    <x v="2"/>
    <x v="0"/>
    <x v="18"/>
    <x v="27"/>
    <x v="9"/>
    <x v="0"/>
    <x v="0"/>
    <d v="2025-11-13T00:00:00"/>
    <n v="2"/>
    <n v="2"/>
    <n v="5"/>
    <n v="2"/>
  </r>
  <r>
    <s v="L1696"/>
    <x v="1"/>
    <x v="0"/>
    <x v="0"/>
    <x v="0"/>
    <x v="0"/>
    <x v="26"/>
    <x v="0"/>
    <x v="0"/>
    <d v="2025-11-18T00:00:00"/>
    <n v="4"/>
    <n v="4"/>
    <n v="4"/>
    <n v="9"/>
  </r>
  <r>
    <s v="L1697"/>
    <x v="3"/>
    <x v="1"/>
    <x v="30"/>
    <x v="2"/>
    <x v="2"/>
    <x v="2"/>
    <x v="1"/>
    <x v="5"/>
    <m/>
    <m/>
    <m/>
    <m/>
    <m/>
  </r>
  <r>
    <s v="L1698"/>
    <x v="1"/>
    <x v="1"/>
    <x v="29"/>
    <x v="2"/>
    <x v="2"/>
    <x v="2"/>
    <x v="1"/>
    <x v="5"/>
    <m/>
    <m/>
    <m/>
    <m/>
    <m/>
  </r>
  <r>
    <s v="L1699"/>
    <x v="0"/>
    <x v="2"/>
    <x v="19"/>
    <x v="4"/>
    <x v="12"/>
    <x v="4"/>
    <x v="0"/>
    <x v="0"/>
    <d v="2025-11-27T00:00:00"/>
    <n v="5"/>
    <n v="1"/>
    <n v="6"/>
    <n v="7"/>
  </r>
  <r>
    <s v="L1700"/>
    <x v="0"/>
    <x v="1"/>
    <x v="11"/>
    <x v="2"/>
    <x v="2"/>
    <x v="2"/>
    <x v="1"/>
    <x v="4"/>
    <m/>
    <m/>
    <m/>
    <m/>
    <m/>
  </r>
  <r>
    <s v="L1701"/>
    <x v="0"/>
    <x v="2"/>
    <x v="30"/>
    <x v="13"/>
    <x v="37"/>
    <x v="25"/>
    <x v="0"/>
    <x v="0"/>
    <d v="2025-11-06T00:00:00"/>
    <n v="4"/>
    <n v="3"/>
    <n v="5"/>
    <n v="9"/>
  </r>
  <r>
    <s v="L1702"/>
    <x v="0"/>
    <x v="2"/>
    <x v="23"/>
    <x v="9"/>
    <x v="26"/>
    <x v="21"/>
    <x v="1"/>
    <x v="2"/>
    <m/>
    <n v="5"/>
    <n v="2"/>
    <n v="3"/>
    <m/>
  </r>
  <r>
    <s v="L1703"/>
    <x v="1"/>
    <x v="0"/>
    <x v="9"/>
    <x v="19"/>
    <x v="11"/>
    <x v="7"/>
    <x v="0"/>
    <x v="0"/>
    <d v="2025-11-22T00:00:00"/>
    <n v="1"/>
    <n v="5"/>
    <n v="7"/>
    <n v="2"/>
  </r>
  <r>
    <s v="L1704"/>
    <x v="3"/>
    <x v="0"/>
    <x v="15"/>
    <x v="12"/>
    <x v="0"/>
    <x v="34"/>
    <x v="0"/>
    <x v="0"/>
    <d v="2025-11-28T00:00:00"/>
    <n v="3"/>
    <n v="2"/>
    <n v="6"/>
    <n v="9"/>
  </r>
  <r>
    <s v="L1705"/>
    <x v="3"/>
    <x v="0"/>
    <x v="13"/>
    <x v="30"/>
    <x v="21"/>
    <x v="14"/>
    <x v="0"/>
    <x v="0"/>
    <d v="2025-10-30T00:00:00"/>
    <n v="3"/>
    <n v="5"/>
    <n v="3"/>
    <n v="2"/>
  </r>
  <r>
    <s v="L1706"/>
    <x v="2"/>
    <x v="0"/>
    <x v="25"/>
    <x v="15"/>
    <x v="30"/>
    <x v="25"/>
    <x v="0"/>
    <x v="0"/>
    <d v="2025-11-03T00:00:00"/>
    <n v="4"/>
    <n v="4"/>
    <n v="3"/>
    <n v="6"/>
  </r>
  <r>
    <s v="L1707"/>
    <x v="1"/>
    <x v="2"/>
    <x v="20"/>
    <x v="10"/>
    <x v="9"/>
    <x v="11"/>
    <x v="1"/>
    <x v="3"/>
    <m/>
    <n v="2"/>
    <n v="5"/>
    <n v="2"/>
    <m/>
  </r>
  <r>
    <s v="L1708"/>
    <x v="0"/>
    <x v="2"/>
    <x v="29"/>
    <x v="14"/>
    <x v="11"/>
    <x v="15"/>
    <x v="0"/>
    <x v="0"/>
    <d v="2025-11-07T00:00:00"/>
    <n v="5"/>
    <n v="3"/>
    <n v="5"/>
    <n v="2"/>
  </r>
  <r>
    <s v="L1709"/>
    <x v="1"/>
    <x v="0"/>
    <x v="1"/>
    <x v="1"/>
    <x v="11"/>
    <x v="22"/>
    <x v="0"/>
    <x v="0"/>
    <d v="2025-11-01T00:00:00"/>
    <n v="3"/>
    <n v="4"/>
    <n v="2"/>
    <n v="6"/>
  </r>
  <r>
    <s v="L1710"/>
    <x v="2"/>
    <x v="0"/>
    <x v="15"/>
    <x v="28"/>
    <x v="15"/>
    <x v="26"/>
    <x v="0"/>
    <x v="0"/>
    <d v="2025-11-27T00:00:00"/>
    <n v="4"/>
    <n v="2"/>
    <n v="3"/>
    <n v="8"/>
  </r>
  <r>
    <s v="L1711"/>
    <x v="2"/>
    <x v="0"/>
    <x v="4"/>
    <x v="24"/>
    <x v="25"/>
    <x v="15"/>
    <x v="0"/>
    <x v="0"/>
    <d v="2025-11-12T00:00:00"/>
    <n v="2"/>
    <n v="1"/>
    <n v="6"/>
    <n v="2"/>
  </r>
  <r>
    <s v="L1712"/>
    <x v="1"/>
    <x v="2"/>
    <x v="14"/>
    <x v="15"/>
    <x v="14"/>
    <x v="14"/>
    <x v="0"/>
    <x v="0"/>
    <d v="2025-11-15T00:00:00"/>
    <n v="1"/>
    <n v="5"/>
    <n v="4"/>
    <n v="5"/>
  </r>
  <r>
    <s v="L1713"/>
    <x v="1"/>
    <x v="0"/>
    <x v="28"/>
    <x v="27"/>
    <x v="14"/>
    <x v="19"/>
    <x v="0"/>
    <x v="0"/>
    <d v="2025-11-03T00:00:00"/>
    <n v="2"/>
    <n v="3"/>
    <n v="7"/>
    <n v="8"/>
  </r>
  <r>
    <s v="L1714"/>
    <x v="1"/>
    <x v="2"/>
    <x v="13"/>
    <x v="13"/>
    <x v="36"/>
    <x v="25"/>
    <x v="0"/>
    <x v="0"/>
    <d v="2025-11-03T00:00:00"/>
    <n v="1"/>
    <n v="1"/>
    <n v="7"/>
    <n v="7"/>
  </r>
  <r>
    <s v="L1715"/>
    <x v="3"/>
    <x v="2"/>
    <x v="19"/>
    <x v="11"/>
    <x v="31"/>
    <x v="26"/>
    <x v="0"/>
    <x v="0"/>
    <d v="2025-12-02T00:00:00"/>
    <n v="4"/>
    <n v="1"/>
    <n v="2"/>
    <n v="7"/>
  </r>
  <r>
    <s v="L1716"/>
    <x v="0"/>
    <x v="0"/>
    <x v="21"/>
    <x v="5"/>
    <x v="28"/>
    <x v="5"/>
    <x v="0"/>
    <x v="0"/>
    <d v="2025-11-08T00:00:00"/>
    <n v="2"/>
    <n v="4"/>
    <n v="4"/>
    <n v="9"/>
  </r>
  <r>
    <s v="L1717"/>
    <x v="1"/>
    <x v="2"/>
    <x v="10"/>
    <x v="34"/>
    <x v="4"/>
    <x v="13"/>
    <x v="0"/>
    <x v="0"/>
    <d v="2025-11-16T00:00:00"/>
    <n v="4"/>
    <n v="2"/>
    <n v="2"/>
    <n v="7"/>
  </r>
  <r>
    <s v="L1718"/>
    <x v="1"/>
    <x v="2"/>
    <x v="9"/>
    <x v="19"/>
    <x v="23"/>
    <x v="12"/>
    <x v="0"/>
    <x v="0"/>
    <d v="2025-11-14T00:00:00"/>
    <n v="1"/>
    <n v="1"/>
    <n v="7"/>
    <n v="2"/>
  </r>
  <r>
    <s v="L1719"/>
    <x v="1"/>
    <x v="0"/>
    <x v="16"/>
    <x v="5"/>
    <x v="16"/>
    <x v="5"/>
    <x v="0"/>
    <x v="0"/>
    <d v="2025-11-15T00:00:00"/>
    <n v="3"/>
    <n v="3"/>
    <n v="5"/>
    <n v="7"/>
  </r>
  <r>
    <s v="L1720"/>
    <x v="2"/>
    <x v="0"/>
    <x v="16"/>
    <x v="5"/>
    <x v="27"/>
    <x v="17"/>
    <x v="0"/>
    <x v="0"/>
    <d v="2025-11-17T00:00:00"/>
    <n v="3"/>
    <n v="5"/>
    <n v="7"/>
    <n v="4"/>
  </r>
  <r>
    <s v="L1721"/>
    <x v="2"/>
    <x v="0"/>
    <x v="20"/>
    <x v="4"/>
    <x v="7"/>
    <x v="39"/>
    <x v="0"/>
    <x v="0"/>
    <d v="2025-11-27T00:00:00"/>
    <n v="1"/>
    <n v="5"/>
    <n v="7"/>
    <n v="6"/>
  </r>
  <r>
    <s v="L1722"/>
    <x v="3"/>
    <x v="2"/>
    <x v="17"/>
    <x v="1"/>
    <x v="1"/>
    <x v="15"/>
    <x v="0"/>
    <x v="0"/>
    <d v="2025-11-20T00:00:00"/>
    <n v="5"/>
    <n v="5"/>
    <n v="4"/>
    <n v="3"/>
  </r>
  <r>
    <s v="L1723"/>
    <x v="0"/>
    <x v="2"/>
    <x v="5"/>
    <x v="10"/>
    <x v="7"/>
    <x v="4"/>
    <x v="0"/>
    <x v="0"/>
    <d v="2025-11-22T00:00:00"/>
    <n v="5"/>
    <n v="4"/>
    <n v="2"/>
    <n v="4"/>
  </r>
  <r>
    <s v="L1724"/>
    <x v="3"/>
    <x v="2"/>
    <x v="14"/>
    <x v="27"/>
    <x v="14"/>
    <x v="6"/>
    <x v="0"/>
    <x v="0"/>
    <d v="2025-11-09T00:00:00"/>
    <n v="3"/>
    <n v="3"/>
    <n v="3"/>
    <n v="10"/>
  </r>
  <r>
    <s v="L1725"/>
    <x v="0"/>
    <x v="2"/>
    <x v="17"/>
    <x v="20"/>
    <x v="21"/>
    <x v="19"/>
    <x v="0"/>
    <x v="0"/>
    <d v="2025-10-31T00:00:00"/>
    <n v="3"/>
    <n v="1"/>
    <n v="6"/>
    <n v="8"/>
  </r>
  <r>
    <s v="L1726"/>
    <x v="2"/>
    <x v="0"/>
    <x v="20"/>
    <x v="10"/>
    <x v="4"/>
    <x v="4"/>
    <x v="0"/>
    <x v="0"/>
    <d v="2025-11-21T00:00:00"/>
    <n v="2"/>
    <n v="3"/>
    <n v="3"/>
    <n v="10"/>
  </r>
  <r>
    <s v="L1727"/>
    <x v="2"/>
    <x v="1"/>
    <x v="5"/>
    <x v="2"/>
    <x v="2"/>
    <x v="2"/>
    <x v="1"/>
    <x v="3"/>
    <m/>
    <m/>
    <m/>
    <m/>
    <m/>
  </r>
  <r>
    <s v="L1728"/>
    <x v="2"/>
    <x v="0"/>
    <x v="8"/>
    <x v="34"/>
    <x v="9"/>
    <x v="36"/>
    <x v="0"/>
    <x v="0"/>
    <d v="2025-12-10T00:00:00"/>
    <n v="2"/>
    <n v="4"/>
    <n v="5"/>
    <n v="3"/>
  </r>
  <r>
    <s v="L1729"/>
    <x v="3"/>
    <x v="0"/>
    <x v="6"/>
    <x v="22"/>
    <x v="16"/>
    <x v="5"/>
    <x v="0"/>
    <x v="0"/>
    <d v="2025-11-20T00:00:00"/>
    <n v="3"/>
    <n v="4"/>
    <n v="5"/>
    <n v="9"/>
  </r>
  <r>
    <s v="L1730"/>
    <x v="1"/>
    <x v="0"/>
    <x v="8"/>
    <x v="32"/>
    <x v="38"/>
    <x v="23"/>
    <x v="0"/>
    <x v="0"/>
    <d v="2025-12-09T00:00:00"/>
    <n v="5"/>
    <n v="2"/>
    <n v="2"/>
    <n v="1"/>
  </r>
  <r>
    <s v="L1731"/>
    <x v="1"/>
    <x v="0"/>
    <x v="19"/>
    <x v="28"/>
    <x v="31"/>
    <x v="0"/>
    <x v="0"/>
    <x v="0"/>
    <d v="2025-11-26T00:00:00"/>
    <n v="2"/>
    <n v="3"/>
    <n v="3"/>
    <n v="8"/>
  </r>
  <r>
    <s v="L1732"/>
    <x v="2"/>
    <x v="0"/>
    <x v="29"/>
    <x v="17"/>
    <x v="20"/>
    <x v="15"/>
    <x v="0"/>
    <x v="0"/>
    <d v="2025-11-14T00:00:00"/>
    <n v="1"/>
    <n v="5"/>
    <n v="7"/>
    <n v="6"/>
  </r>
  <r>
    <s v="L1733"/>
    <x v="1"/>
    <x v="0"/>
    <x v="15"/>
    <x v="25"/>
    <x v="15"/>
    <x v="0"/>
    <x v="0"/>
    <x v="0"/>
    <d v="2025-11-26T00:00:00"/>
    <n v="2"/>
    <n v="4"/>
    <n v="4"/>
    <n v="4"/>
  </r>
  <r>
    <s v="L1734"/>
    <x v="1"/>
    <x v="0"/>
    <x v="3"/>
    <x v="11"/>
    <x v="22"/>
    <x v="18"/>
    <x v="0"/>
    <x v="0"/>
    <d v="2025-11-30T00:00:00"/>
    <n v="2"/>
    <n v="4"/>
    <n v="2"/>
    <n v="4"/>
  </r>
  <r>
    <s v="L1735"/>
    <x v="3"/>
    <x v="2"/>
    <x v="1"/>
    <x v="19"/>
    <x v="17"/>
    <x v="16"/>
    <x v="0"/>
    <x v="0"/>
    <d v="2025-11-08T00:00:00"/>
    <n v="2"/>
    <n v="2"/>
    <n v="2"/>
    <n v="9"/>
  </r>
  <r>
    <s v="L1736"/>
    <x v="0"/>
    <x v="0"/>
    <x v="19"/>
    <x v="11"/>
    <x v="4"/>
    <x v="4"/>
    <x v="0"/>
    <x v="0"/>
    <d v="2025-11-17T00:00:00"/>
    <n v="4"/>
    <n v="5"/>
    <n v="3"/>
    <n v="0"/>
  </r>
  <r>
    <s v="L1737"/>
    <x v="2"/>
    <x v="1"/>
    <x v="7"/>
    <x v="2"/>
    <x v="2"/>
    <x v="2"/>
    <x v="1"/>
    <x v="2"/>
    <m/>
    <m/>
    <m/>
    <m/>
    <m/>
  </r>
  <r>
    <s v="L1738"/>
    <x v="2"/>
    <x v="2"/>
    <x v="11"/>
    <x v="24"/>
    <x v="6"/>
    <x v="1"/>
    <x v="0"/>
    <x v="0"/>
    <d v="2025-11-06T00:00:00"/>
    <n v="1"/>
    <n v="4"/>
    <n v="6"/>
    <n v="7"/>
  </r>
  <r>
    <s v="L1739"/>
    <x v="3"/>
    <x v="2"/>
    <x v="8"/>
    <x v="35"/>
    <x v="4"/>
    <x v="23"/>
    <x v="0"/>
    <x v="0"/>
    <d v="2025-12-06T00:00:00"/>
    <n v="3"/>
    <n v="1"/>
    <n v="5"/>
    <n v="7"/>
  </r>
  <r>
    <s v="L1740"/>
    <x v="3"/>
    <x v="0"/>
    <x v="25"/>
    <x v="30"/>
    <x v="21"/>
    <x v="22"/>
    <x v="0"/>
    <x v="0"/>
    <d v="2025-11-05T00:00:00"/>
    <n v="5"/>
    <n v="5"/>
    <n v="7"/>
    <n v="1"/>
  </r>
  <r>
    <s v="L1741"/>
    <x v="1"/>
    <x v="0"/>
    <x v="13"/>
    <x v="21"/>
    <x v="21"/>
    <x v="16"/>
    <x v="0"/>
    <x v="0"/>
    <d v="2025-11-07T00:00:00"/>
    <n v="5"/>
    <n v="3"/>
    <n v="4"/>
    <n v="2"/>
  </r>
  <r>
    <s v="L1742"/>
    <x v="2"/>
    <x v="0"/>
    <x v="22"/>
    <x v="28"/>
    <x v="15"/>
    <x v="34"/>
    <x v="0"/>
    <x v="0"/>
    <d v="2025-11-14T00:00:00"/>
    <n v="3"/>
    <n v="2"/>
    <n v="5"/>
    <n v="2"/>
  </r>
  <r>
    <s v="L1743"/>
    <x v="0"/>
    <x v="0"/>
    <x v="8"/>
    <x v="8"/>
    <x v="7"/>
    <x v="39"/>
    <x v="0"/>
    <x v="0"/>
    <d v="2025-12-02T00:00:00"/>
    <n v="4"/>
    <n v="1"/>
    <n v="7"/>
    <n v="1"/>
  </r>
  <r>
    <s v="L1744"/>
    <x v="3"/>
    <x v="2"/>
    <x v="24"/>
    <x v="19"/>
    <x v="23"/>
    <x v="14"/>
    <x v="0"/>
    <x v="0"/>
    <d v="2025-11-11T00:00:00"/>
    <n v="5"/>
    <n v="1"/>
    <n v="2"/>
    <n v="5"/>
  </r>
  <r>
    <s v="L1745"/>
    <x v="0"/>
    <x v="0"/>
    <x v="3"/>
    <x v="11"/>
    <x v="10"/>
    <x v="11"/>
    <x v="0"/>
    <x v="0"/>
    <d v="2025-11-24T00:00:00"/>
    <n v="2"/>
    <n v="3"/>
    <n v="6"/>
    <n v="9"/>
  </r>
  <r>
    <s v="L1746"/>
    <x v="0"/>
    <x v="0"/>
    <x v="26"/>
    <x v="12"/>
    <x v="0"/>
    <x v="24"/>
    <x v="1"/>
    <x v="5"/>
    <m/>
    <n v="5"/>
    <n v="2"/>
    <n v="2"/>
    <m/>
  </r>
  <r>
    <s v="L1747"/>
    <x v="2"/>
    <x v="1"/>
    <x v="15"/>
    <x v="2"/>
    <x v="2"/>
    <x v="2"/>
    <x v="1"/>
    <x v="4"/>
    <m/>
    <m/>
    <m/>
    <m/>
    <m/>
  </r>
  <r>
    <s v="L1748"/>
    <x v="2"/>
    <x v="0"/>
    <x v="26"/>
    <x v="18"/>
    <x v="18"/>
    <x v="26"/>
    <x v="0"/>
    <x v="0"/>
    <d v="2025-11-12T00:00:00"/>
    <n v="1"/>
    <n v="4"/>
    <n v="6"/>
    <n v="7"/>
  </r>
  <r>
    <s v="L1749"/>
    <x v="3"/>
    <x v="2"/>
    <x v="27"/>
    <x v="1"/>
    <x v="20"/>
    <x v="19"/>
    <x v="0"/>
    <x v="0"/>
    <d v="2025-10-29T00:00:00"/>
    <n v="1"/>
    <n v="2"/>
    <n v="3"/>
    <n v="0"/>
  </r>
  <r>
    <s v="L1750"/>
    <x v="2"/>
    <x v="2"/>
    <x v="8"/>
    <x v="35"/>
    <x v="38"/>
    <x v="33"/>
    <x v="0"/>
    <x v="0"/>
    <d v="2025-12-14T00:00:00"/>
    <n v="3"/>
    <n v="4"/>
    <n v="7"/>
    <n v="7"/>
  </r>
  <r>
    <s v="L1751"/>
    <x v="2"/>
    <x v="2"/>
    <x v="3"/>
    <x v="10"/>
    <x v="4"/>
    <x v="23"/>
    <x v="0"/>
    <x v="0"/>
    <d v="2025-11-26T00:00:00"/>
    <n v="4"/>
    <n v="3"/>
    <n v="5"/>
    <n v="4"/>
  </r>
  <r>
    <s v="L1752"/>
    <x v="2"/>
    <x v="0"/>
    <x v="19"/>
    <x v="11"/>
    <x v="10"/>
    <x v="34"/>
    <x v="0"/>
    <x v="0"/>
    <d v="2025-11-21T00:00:00"/>
    <n v="4"/>
    <n v="3"/>
    <n v="2"/>
    <n v="4"/>
  </r>
  <r>
    <s v="L1753"/>
    <x v="0"/>
    <x v="2"/>
    <x v="21"/>
    <x v="18"/>
    <x v="28"/>
    <x v="9"/>
    <x v="0"/>
    <x v="0"/>
    <d v="2025-11-20T00:00:00"/>
    <n v="5"/>
    <n v="1"/>
    <n v="6"/>
    <n v="9"/>
  </r>
  <r>
    <s v="L1754"/>
    <x v="3"/>
    <x v="0"/>
    <x v="9"/>
    <x v="24"/>
    <x v="25"/>
    <x v="15"/>
    <x v="0"/>
    <x v="0"/>
    <d v="2025-11-11T00:00:00"/>
    <n v="4"/>
    <n v="1"/>
    <n v="6"/>
    <n v="6"/>
  </r>
  <r>
    <s v="L1755"/>
    <x v="1"/>
    <x v="0"/>
    <x v="25"/>
    <x v="15"/>
    <x v="5"/>
    <x v="30"/>
    <x v="0"/>
    <x v="0"/>
    <d v="2025-10-24T00:00:00"/>
    <n v="4"/>
    <n v="1"/>
    <n v="2"/>
    <n v="5"/>
  </r>
  <r>
    <s v="L1756"/>
    <x v="0"/>
    <x v="2"/>
    <x v="19"/>
    <x v="4"/>
    <x v="22"/>
    <x v="11"/>
    <x v="0"/>
    <x v="0"/>
    <d v="2025-11-21T00:00:00"/>
    <n v="5"/>
    <n v="3"/>
    <n v="5"/>
    <n v="7"/>
  </r>
  <r>
    <s v="L1757"/>
    <x v="2"/>
    <x v="2"/>
    <x v="27"/>
    <x v="1"/>
    <x v="11"/>
    <x v="7"/>
    <x v="0"/>
    <x v="0"/>
    <d v="2025-11-16T00:00:00"/>
    <n v="1"/>
    <n v="4"/>
    <n v="7"/>
    <n v="6"/>
  </r>
  <r>
    <s v="L1758"/>
    <x v="0"/>
    <x v="2"/>
    <x v="2"/>
    <x v="33"/>
    <x v="29"/>
    <x v="35"/>
    <x v="0"/>
    <x v="0"/>
    <d v="2025-11-04T00:00:00"/>
    <n v="2"/>
    <n v="3"/>
    <n v="3"/>
    <n v="6"/>
  </r>
  <r>
    <s v="L1759"/>
    <x v="2"/>
    <x v="1"/>
    <x v="17"/>
    <x v="2"/>
    <x v="2"/>
    <x v="2"/>
    <x v="1"/>
    <x v="4"/>
    <m/>
    <m/>
    <m/>
    <m/>
    <m/>
  </r>
  <r>
    <s v="L1760"/>
    <x v="2"/>
    <x v="2"/>
    <x v="21"/>
    <x v="16"/>
    <x v="28"/>
    <x v="32"/>
    <x v="0"/>
    <x v="0"/>
    <d v="2025-11-24T00:00:00"/>
    <n v="3"/>
    <n v="3"/>
    <n v="3"/>
    <n v="2"/>
  </r>
  <r>
    <s v="L1761"/>
    <x v="0"/>
    <x v="0"/>
    <x v="7"/>
    <x v="6"/>
    <x v="29"/>
    <x v="30"/>
    <x v="0"/>
    <x v="0"/>
    <d v="2025-10-29T00:00:00"/>
    <n v="1"/>
    <n v="1"/>
    <n v="4"/>
    <n v="8"/>
  </r>
  <r>
    <s v="L1762"/>
    <x v="3"/>
    <x v="1"/>
    <x v="11"/>
    <x v="2"/>
    <x v="2"/>
    <x v="2"/>
    <x v="1"/>
    <x v="3"/>
    <m/>
    <m/>
    <m/>
    <m/>
    <m/>
  </r>
  <r>
    <s v="L1763"/>
    <x v="2"/>
    <x v="0"/>
    <x v="9"/>
    <x v="24"/>
    <x v="11"/>
    <x v="31"/>
    <x v="1"/>
    <x v="4"/>
    <m/>
    <n v="4"/>
    <n v="2"/>
    <n v="4"/>
    <m/>
  </r>
  <r>
    <s v="L1764"/>
    <x v="3"/>
    <x v="1"/>
    <x v="26"/>
    <x v="2"/>
    <x v="2"/>
    <x v="2"/>
    <x v="1"/>
    <x v="2"/>
    <m/>
    <m/>
    <m/>
    <m/>
    <m/>
  </r>
  <r>
    <s v="L1765"/>
    <x v="1"/>
    <x v="0"/>
    <x v="15"/>
    <x v="28"/>
    <x v="0"/>
    <x v="26"/>
    <x v="0"/>
    <x v="0"/>
    <d v="2025-11-17T00:00:00"/>
    <n v="4"/>
    <n v="1"/>
    <n v="4"/>
    <n v="1"/>
  </r>
  <r>
    <s v="L1766"/>
    <x v="2"/>
    <x v="1"/>
    <x v="26"/>
    <x v="2"/>
    <x v="2"/>
    <x v="2"/>
    <x v="1"/>
    <x v="5"/>
    <m/>
    <m/>
    <m/>
    <m/>
    <m/>
  </r>
  <r>
    <s v="L1767"/>
    <x v="3"/>
    <x v="2"/>
    <x v="17"/>
    <x v="1"/>
    <x v="20"/>
    <x v="12"/>
    <x v="0"/>
    <x v="0"/>
    <d v="2025-11-02T00:00:00"/>
    <n v="5"/>
    <n v="2"/>
    <n v="5"/>
    <n v="0"/>
  </r>
  <r>
    <s v="L1768"/>
    <x v="3"/>
    <x v="2"/>
    <x v="23"/>
    <x v="31"/>
    <x v="26"/>
    <x v="26"/>
    <x v="0"/>
    <x v="0"/>
    <d v="2025-11-13T00:00:00"/>
    <n v="3"/>
    <n v="4"/>
    <n v="7"/>
    <n v="4"/>
  </r>
  <r>
    <s v="L1769"/>
    <x v="1"/>
    <x v="0"/>
    <x v="27"/>
    <x v="14"/>
    <x v="1"/>
    <x v="1"/>
    <x v="0"/>
    <x v="0"/>
    <d v="2025-11-14T00:00:00"/>
    <n v="2"/>
    <n v="4"/>
    <n v="7"/>
    <n v="0"/>
  </r>
  <r>
    <s v="L1770"/>
    <x v="3"/>
    <x v="1"/>
    <x v="5"/>
    <x v="2"/>
    <x v="2"/>
    <x v="2"/>
    <x v="1"/>
    <x v="2"/>
    <m/>
    <m/>
    <m/>
    <m/>
    <m/>
  </r>
  <r>
    <s v="L1771"/>
    <x v="3"/>
    <x v="1"/>
    <x v="0"/>
    <x v="2"/>
    <x v="2"/>
    <x v="2"/>
    <x v="1"/>
    <x v="1"/>
    <m/>
    <m/>
    <m/>
    <m/>
    <m/>
  </r>
  <r>
    <s v="L1772"/>
    <x v="1"/>
    <x v="2"/>
    <x v="8"/>
    <x v="32"/>
    <x v="39"/>
    <x v="33"/>
    <x v="0"/>
    <x v="0"/>
    <d v="2025-12-03T00:00:00"/>
    <n v="5"/>
    <n v="5"/>
    <n v="4"/>
    <n v="4"/>
  </r>
  <r>
    <s v="L1773"/>
    <x v="2"/>
    <x v="2"/>
    <x v="9"/>
    <x v="7"/>
    <x v="24"/>
    <x v="1"/>
    <x v="0"/>
    <x v="0"/>
    <d v="2025-11-19T00:00:00"/>
    <n v="5"/>
    <n v="5"/>
    <n v="4"/>
    <n v="1"/>
  </r>
  <r>
    <s v="L1774"/>
    <x v="3"/>
    <x v="1"/>
    <x v="7"/>
    <x v="2"/>
    <x v="2"/>
    <x v="2"/>
    <x v="1"/>
    <x v="3"/>
    <m/>
    <m/>
    <m/>
    <m/>
    <m/>
  </r>
  <r>
    <s v="L1775"/>
    <x v="3"/>
    <x v="2"/>
    <x v="26"/>
    <x v="9"/>
    <x v="0"/>
    <x v="0"/>
    <x v="0"/>
    <x v="0"/>
    <d v="2025-11-29T00:00:00"/>
    <n v="2"/>
    <n v="5"/>
    <n v="5"/>
    <n v="10"/>
  </r>
  <r>
    <s v="L1776"/>
    <x v="3"/>
    <x v="0"/>
    <x v="24"/>
    <x v="21"/>
    <x v="23"/>
    <x v="27"/>
    <x v="0"/>
    <x v="0"/>
    <d v="2025-11-16T00:00:00"/>
    <n v="2"/>
    <n v="4"/>
    <n v="4"/>
    <n v="1"/>
  </r>
  <r>
    <s v="L1777"/>
    <x v="0"/>
    <x v="1"/>
    <x v="6"/>
    <x v="2"/>
    <x v="2"/>
    <x v="2"/>
    <x v="1"/>
    <x v="4"/>
    <m/>
    <m/>
    <m/>
    <m/>
    <m/>
  </r>
  <r>
    <s v="L1778"/>
    <x v="1"/>
    <x v="0"/>
    <x v="2"/>
    <x v="6"/>
    <x v="29"/>
    <x v="35"/>
    <x v="0"/>
    <x v="0"/>
    <d v="2025-11-04T00:00:00"/>
    <n v="4"/>
    <n v="1"/>
    <n v="3"/>
    <n v="3"/>
  </r>
  <r>
    <s v="L1779"/>
    <x v="0"/>
    <x v="0"/>
    <x v="18"/>
    <x v="0"/>
    <x v="26"/>
    <x v="5"/>
    <x v="0"/>
    <x v="0"/>
    <d v="2025-11-17T00:00:00"/>
    <n v="5"/>
    <n v="1"/>
    <n v="2"/>
    <n v="2"/>
  </r>
  <r>
    <s v="L1780"/>
    <x v="1"/>
    <x v="0"/>
    <x v="10"/>
    <x v="11"/>
    <x v="31"/>
    <x v="0"/>
    <x v="0"/>
    <x v="0"/>
    <d v="2025-11-26T00:00:00"/>
    <n v="1"/>
    <n v="1"/>
    <n v="3"/>
    <n v="2"/>
  </r>
  <r>
    <s v="L1781"/>
    <x v="2"/>
    <x v="2"/>
    <x v="8"/>
    <x v="10"/>
    <x v="4"/>
    <x v="4"/>
    <x v="0"/>
    <x v="0"/>
    <d v="2025-11-21T00:00:00"/>
    <n v="1"/>
    <n v="3"/>
    <n v="3"/>
    <n v="4"/>
  </r>
  <r>
    <s v="L1782"/>
    <x v="2"/>
    <x v="1"/>
    <x v="21"/>
    <x v="2"/>
    <x v="2"/>
    <x v="2"/>
    <x v="1"/>
    <x v="1"/>
    <m/>
    <m/>
    <m/>
    <m/>
    <m/>
  </r>
  <r>
    <s v="L1783"/>
    <x v="3"/>
    <x v="0"/>
    <x v="1"/>
    <x v="24"/>
    <x v="3"/>
    <x v="32"/>
    <x v="0"/>
    <x v="0"/>
    <d v="2025-11-16T00:00:00"/>
    <n v="5"/>
    <n v="5"/>
    <n v="6"/>
    <n v="9"/>
  </r>
  <r>
    <s v="L1784"/>
    <x v="1"/>
    <x v="1"/>
    <x v="20"/>
    <x v="2"/>
    <x v="2"/>
    <x v="2"/>
    <x v="1"/>
    <x v="4"/>
    <m/>
    <m/>
    <m/>
    <m/>
    <m/>
  </r>
  <r>
    <s v="L1785"/>
    <x v="2"/>
    <x v="2"/>
    <x v="18"/>
    <x v="31"/>
    <x v="16"/>
    <x v="7"/>
    <x v="0"/>
    <x v="0"/>
    <d v="2025-11-19T00:00:00"/>
    <n v="2"/>
    <n v="1"/>
    <n v="2"/>
    <n v="7"/>
  </r>
  <r>
    <s v="L1786"/>
    <x v="1"/>
    <x v="1"/>
    <x v="24"/>
    <x v="2"/>
    <x v="2"/>
    <x v="2"/>
    <x v="1"/>
    <x v="5"/>
    <m/>
    <m/>
    <m/>
    <m/>
    <m/>
  </r>
  <r>
    <s v="L1787"/>
    <x v="2"/>
    <x v="0"/>
    <x v="0"/>
    <x v="9"/>
    <x v="0"/>
    <x v="17"/>
    <x v="0"/>
    <x v="0"/>
    <d v="2025-11-22T00:00:00"/>
    <n v="3"/>
    <n v="5"/>
    <n v="3"/>
    <n v="3"/>
  </r>
  <r>
    <s v="L1788"/>
    <x v="0"/>
    <x v="2"/>
    <x v="25"/>
    <x v="6"/>
    <x v="13"/>
    <x v="28"/>
    <x v="0"/>
    <x v="0"/>
    <d v="2025-10-28T00:00:00"/>
    <n v="2"/>
    <n v="5"/>
    <n v="2"/>
    <n v="3"/>
  </r>
  <r>
    <s v="L1789"/>
    <x v="2"/>
    <x v="2"/>
    <x v="0"/>
    <x v="18"/>
    <x v="26"/>
    <x v="21"/>
    <x v="0"/>
    <x v="0"/>
    <d v="2025-11-13T00:00:00"/>
    <n v="2"/>
    <n v="3"/>
    <n v="3"/>
    <n v="3"/>
  </r>
  <r>
    <s v="L1790"/>
    <x v="0"/>
    <x v="0"/>
    <x v="5"/>
    <x v="11"/>
    <x v="22"/>
    <x v="11"/>
    <x v="0"/>
    <x v="0"/>
    <d v="2025-11-30T00:00:00"/>
    <n v="3"/>
    <n v="4"/>
    <n v="5"/>
    <n v="5"/>
  </r>
  <r>
    <s v="L1791"/>
    <x v="2"/>
    <x v="0"/>
    <x v="11"/>
    <x v="7"/>
    <x v="11"/>
    <x v="15"/>
    <x v="0"/>
    <x v="0"/>
    <d v="2025-11-02T00:00:00"/>
    <n v="2"/>
    <n v="1"/>
    <n v="5"/>
    <n v="8"/>
  </r>
  <r>
    <s v="L1792"/>
    <x v="3"/>
    <x v="1"/>
    <x v="20"/>
    <x v="2"/>
    <x v="2"/>
    <x v="2"/>
    <x v="1"/>
    <x v="5"/>
    <m/>
    <m/>
    <m/>
    <m/>
    <m/>
  </r>
  <r>
    <s v="L1793"/>
    <x v="0"/>
    <x v="2"/>
    <x v="12"/>
    <x v="25"/>
    <x v="0"/>
    <x v="26"/>
    <x v="0"/>
    <x v="0"/>
    <d v="2025-11-19T00:00:00"/>
    <n v="3"/>
    <n v="3"/>
    <n v="4"/>
    <n v="1"/>
  </r>
  <r>
    <s v="L1794"/>
    <x v="2"/>
    <x v="2"/>
    <x v="29"/>
    <x v="14"/>
    <x v="1"/>
    <x v="3"/>
    <x v="0"/>
    <x v="0"/>
    <d v="2025-11-10T00:00:00"/>
    <n v="5"/>
    <n v="4"/>
    <n v="5"/>
    <n v="10"/>
  </r>
  <r>
    <s v="L1795"/>
    <x v="3"/>
    <x v="0"/>
    <x v="0"/>
    <x v="9"/>
    <x v="8"/>
    <x v="9"/>
    <x v="0"/>
    <x v="0"/>
    <d v="2025-11-13T00:00:00"/>
    <n v="3"/>
    <n v="4"/>
    <n v="2"/>
    <n v="4"/>
  </r>
  <r>
    <s v="L1796"/>
    <x v="0"/>
    <x v="0"/>
    <x v="4"/>
    <x v="14"/>
    <x v="20"/>
    <x v="31"/>
    <x v="0"/>
    <x v="0"/>
    <d v="2025-11-07T00:00:00"/>
    <n v="1"/>
    <n v="1"/>
    <n v="6"/>
    <n v="8"/>
  </r>
  <r>
    <s v="L1797"/>
    <x v="3"/>
    <x v="0"/>
    <x v="7"/>
    <x v="15"/>
    <x v="14"/>
    <x v="14"/>
    <x v="0"/>
    <x v="0"/>
    <d v="2025-10-26T00:00:00"/>
    <n v="3"/>
    <n v="5"/>
    <n v="4"/>
    <n v="7"/>
  </r>
  <r>
    <s v="L1798"/>
    <x v="1"/>
    <x v="1"/>
    <x v="13"/>
    <x v="2"/>
    <x v="2"/>
    <x v="2"/>
    <x v="1"/>
    <x v="5"/>
    <m/>
    <m/>
    <m/>
    <m/>
    <m/>
  </r>
  <r>
    <s v="L1799"/>
    <x v="1"/>
    <x v="1"/>
    <x v="30"/>
    <x v="2"/>
    <x v="2"/>
    <x v="2"/>
    <x v="1"/>
    <x v="4"/>
    <m/>
    <m/>
    <m/>
    <m/>
    <m/>
  </r>
  <r>
    <s v="L1800"/>
    <x v="0"/>
    <x v="1"/>
    <x v="8"/>
    <x v="2"/>
    <x v="2"/>
    <x v="2"/>
    <x v="1"/>
    <x v="1"/>
    <m/>
    <m/>
    <m/>
    <m/>
    <m/>
  </r>
  <r>
    <s v="L1801"/>
    <x v="2"/>
    <x v="0"/>
    <x v="30"/>
    <x v="26"/>
    <x v="29"/>
    <x v="35"/>
    <x v="1"/>
    <x v="5"/>
    <m/>
    <n v="2"/>
    <n v="2"/>
    <n v="3"/>
    <m/>
  </r>
  <r>
    <s v="L1802"/>
    <x v="0"/>
    <x v="0"/>
    <x v="29"/>
    <x v="14"/>
    <x v="6"/>
    <x v="7"/>
    <x v="0"/>
    <x v="0"/>
    <d v="2025-11-22T00:00:00"/>
    <n v="5"/>
    <n v="5"/>
    <n v="5"/>
    <n v="10"/>
  </r>
  <r>
    <s v="L1803"/>
    <x v="3"/>
    <x v="0"/>
    <x v="6"/>
    <x v="22"/>
    <x v="28"/>
    <x v="5"/>
    <x v="0"/>
    <x v="0"/>
    <d v="2025-11-23T00:00:00"/>
    <n v="3"/>
    <n v="5"/>
    <n v="4"/>
    <n v="1"/>
  </r>
  <r>
    <s v="L1804"/>
    <x v="2"/>
    <x v="0"/>
    <x v="7"/>
    <x v="13"/>
    <x v="5"/>
    <x v="38"/>
    <x v="0"/>
    <x v="0"/>
    <d v="2025-10-28T00:00:00"/>
    <n v="2"/>
    <n v="2"/>
    <n v="5"/>
    <n v="9"/>
  </r>
  <r>
    <s v="L1805"/>
    <x v="1"/>
    <x v="1"/>
    <x v="7"/>
    <x v="2"/>
    <x v="2"/>
    <x v="2"/>
    <x v="1"/>
    <x v="1"/>
    <m/>
    <m/>
    <m/>
    <m/>
    <m/>
  </r>
  <r>
    <s v="L1806"/>
    <x v="2"/>
    <x v="2"/>
    <x v="24"/>
    <x v="17"/>
    <x v="17"/>
    <x v="19"/>
    <x v="0"/>
    <x v="0"/>
    <d v="2025-11-01T00:00:00"/>
    <n v="3"/>
    <n v="4"/>
    <n v="4"/>
    <n v="3"/>
  </r>
  <r>
    <s v="L1807"/>
    <x v="1"/>
    <x v="0"/>
    <x v="10"/>
    <x v="35"/>
    <x v="7"/>
    <x v="4"/>
    <x v="0"/>
    <x v="0"/>
    <d v="2025-11-28T00:00:00"/>
    <n v="5"/>
    <n v="2"/>
    <n v="2"/>
    <n v="2"/>
  </r>
  <r>
    <s v="L1808"/>
    <x v="2"/>
    <x v="2"/>
    <x v="21"/>
    <x v="18"/>
    <x v="27"/>
    <x v="32"/>
    <x v="0"/>
    <x v="0"/>
    <d v="2025-11-26T00:00:00"/>
    <n v="5"/>
    <n v="2"/>
    <n v="2"/>
    <n v="5"/>
  </r>
  <r>
    <s v="L1809"/>
    <x v="2"/>
    <x v="0"/>
    <x v="13"/>
    <x v="13"/>
    <x v="37"/>
    <x v="28"/>
    <x v="0"/>
    <x v="0"/>
    <d v="2025-10-23T00:00:00"/>
    <n v="1"/>
    <n v="3"/>
    <n v="3"/>
    <n v="1"/>
  </r>
  <r>
    <s v="L1810"/>
    <x v="2"/>
    <x v="1"/>
    <x v="27"/>
    <x v="2"/>
    <x v="2"/>
    <x v="2"/>
    <x v="1"/>
    <x v="4"/>
    <m/>
    <m/>
    <m/>
    <m/>
    <m/>
  </r>
  <r>
    <s v="L1811"/>
    <x v="3"/>
    <x v="0"/>
    <x v="11"/>
    <x v="5"/>
    <x v="16"/>
    <x v="9"/>
    <x v="0"/>
    <x v="0"/>
    <d v="2025-11-21T00:00:00"/>
    <n v="5"/>
    <n v="3"/>
    <n v="7"/>
    <n v="7"/>
  </r>
  <r>
    <s v="L1812"/>
    <x v="3"/>
    <x v="2"/>
    <x v="9"/>
    <x v="1"/>
    <x v="25"/>
    <x v="12"/>
    <x v="0"/>
    <x v="0"/>
    <d v="2025-11-20T00:00:00"/>
    <n v="2"/>
    <n v="3"/>
    <n v="4"/>
    <n v="3"/>
  </r>
  <r>
    <s v="L1813"/>
    <x v="0"/>
    <x v="1"/>
    <x v="26"/>
    <x v="2"/>
    <x v="2"/>
    <x v="2"/>
    <x v="1"/>
    <x v="1"/>
    <m/>
    <m/>
    <m/>
    <m/>
    <m/>
  </r>
  <r>
    <s v="L1814"/>
    <x v="0"/>
    <x v="0"/>
    <x v="8"/>
    <x v="32"/>
    <x v="19"/>
    <x v="43"/>
    <x v="0"/>
    <x v="0"/>
    <d v="2025-12-04T00:00:00"/>
    <n v="5"/>
    <n v="4"/>
    <n v="7"/>
    <n v="2"/>
  </r>
  <r>
    <s v="L1815"/>
    <x v="1"/>
    <x v="2"/>
    <x v="15"/>
    <x v="23"/>
    <x v="31"/>
    <x v="4"/>
    <x v="0"/>
    <x v="0"/>
    <d v="2025-12-04T00:00:00"/>
    <n v="5"/>
    <n v="2"/>
    <n v="7"/>
    <n v="5"/>
  </r>
  <r>
    <s v="L1816"/>
    <x v="3"/>
    <x v="2"/>
    <x v="12"/>
    <x v="0"/>
    <x v="26"/>
    <x v="17"/>
    <x v="1"/>
    <x v="4"/>
    <m/>
    <n v="2"/>
    <n v="1"/>
    <n v="6"/>
    <m/>
  </r>
  <r>
    <s v="L1817"/>
    <x v="1"/>
    <x v="2"/>
    <x v="8"/>
    <x v="34"/>
    <x v="4"/>
    <x v="13"/>
    <x v="0"/>
    <x v="0"/>
    <d v="2025-12-05T00:00:00"/>
    <n v="2"/>
    <n v="2"/>
    <n v="2"/>
    <n v="8"/>
  </r>
  <r>
    <s v="L1818"/>
    <x v="0"/>
    <x v="2"/>
    <x v="21"/>
    <x v="18"/>
    <x v="18"/>
    <x v="9"/>
    <x v="0"/>
    <x v="0"/>
    <d v="2025-11-10T00:00:00"/>
    <n v="5"/>
    <n v="4"/>
    <n v="3"/>
    <n v="8"/>
  </r>
  <r>
    <s v="L1819"/>
    <x v="1"/>
    <x v="1"/>
    <x v="4"/>
    <x v="2"/>
    <x v="2"/>
    <x v="2"/>
    <x v="1"/>
    <x v="4"/>
    <m/>
    <m/>
    <m/>
    <m/>
    <m/>
  </r>
  <r>
    <s v="L1820"/>
    <x v="0"/>
    <x v="0"/>
    <x v="23"/>
    <x v="9"/>
    <x v="18"/>
    <x v="24"/>
    <x v="0"/>
    <x v="0"/>
    <d v="2025-11-29T00:00:00"/>
    <n v="5"/>
    <n v="3"/>
    <n v="4"/>
    <n v="2"/>
  </r>
  <r>
    <s v="L1821"/>
    <x v="3"/>
    <x v="1"/>
    <x v="15"/>
    <x v="2"/>
    <x v="2"/>
    <x v="2"/>
    <x v="1"/>
    <x v="3"/>
    <m/>
    <m/>
    <m/>
    <m/>
    <m/>
  </r>
  <r>
    <s v="L1822"/>
    <x v="2"/>
    <x v="0"/>
    <x v="15"/>
    <x v="12"/>
    <x v="31"/>
    <x v="0"/>
    <x v="0"/>
    <x v="0"/>
    <d v="2025-11-14T00:00:00"/>
    <n v="3"/>
    <n v="4"/>
    <n v="3"/>
    <n v="3"/>
  </r>
  <r>
    <s v="L1823"/>
    <x v="3"/>
    <x v="2"/>
    <x v="13"/>
    <x v="21"/>
    <x v="21"/>
    <x v="6"/>
    <x v="0"/>
    <x v="0"/>
    <d v="2025-10-28T00:00:00"/>
    <n v="5"/>
    <n v="3"/>
    <n v="2"/>
    <n v="4"/>
  </r>
  <r>
    <s v="L1824"/>
    <x v="1"/>
    <x v="0"/>
    <x v="10"/>
    <x v="11"/>
    <x v="22"/>
    <x v="8"/>
    <x v="1"/>
    <x v="4"/>
    <m/>
    <n v="1"/>
    <n v="4"/>
    <n v="7"/>
    <m/>
  </r>
  <r>
    <s v="L1825"/>
    <x v="1"/>
    <x v="2"/>
    <x v="4"/>
    <x v="14"/>
    <x v="20"/>
    <x v="19"/>
    <x v="0"/>
    <x v="0"/>
    <d v="2025-11-18T00:00:00"/>
    <n v="1"/>
    <n v="1"/>
    <n v="3"/>
    <n v="3"/>
  </r>
  <r>
    <s v="L1826"/>
    <x v="3"/>
    <x v="0"/>
    <x v="0"/>
    <x v="31"/>
    <x v="27"/>
    <x v="21"/>
    <x v="0"/>
    <x v="0"/>
    <d v="2025-11-08T00:00:00"/>
    <n v="1"/>
    <n v="3"/>
    <n v="4"/>
    <n v="6"/>
  </r>
  <r>
    <s v="L1827"/>
    <x v="3"/>
    <x v="1"/>
    <x v="7"/>
    <x v="2"/>
    <x v="2"/>
    <x v="2"/>
    <x v="1"/>
    <x v="4"/>
    <m/>
    <m/>
    <m/>
    <m/>
    <m/>
  </r>
  <r>
    <s v="L1828"/>
    <x v="0"/>
    <x v="0"/>
    <x v="5"/>
    <x v="28"/>
    <x v="31"/>
    <x v="18"/>
    <x v="0"/>
    <x v="0"/>
    <d v="2025-11-16T00:00:00"/>
    <n v="1"/>
    <n v="3"/>
    <n v="5"/>
    <n v="2"/>
  </r>
  <r>
    <s v="L1829"/>
    <x v="1"/>
    <x v="0"/>
    <x v="6"/>
    <x v="16"/>
    <x v="16"/>
    <x v="21"/>
    <x v="1"/>
    <x v="2"/>
    <m/>
    <n v="5"/>
    <n v="2"/>
    <n v="6"/>
    <m/>
  </r>
  <r>
    <s v="L1830"/>
    <x v="1"/>
    <x v="2"/>
    <x v="18"/>
    <x v="18"/>
    <x v="18"/>
    <x v="21"/>
    <x v="1"/>
    <x v="5"/>
    <m/>
    <n v="3"/>
    <n v="4"/>
    <n v="2"/>
    <m/>
  </r>
  <r>
    <s v="L1831"/>
    <x v="3"/>
    <x v="2"/>
    <x v="4"/>
    <x v="24"/>
    <x v="3"/>
    <x v="5"/>
    <x v="0"/>
    <x v="0"/>
    <d v="2025-11-10T00:00:00"/>
    <n v="2"/>
    <n v="5"/>
    <n v="7"/>
    <n v="9"/>
  </r>
  <r>
    <s v="L1832"/>
    <x v="2"/>
    <x v="2"/>
    <x v="8"/>
    <x v="32"/>
    <x v="39"/>
    <x v="33"/>
    <x v="0"/>
    <x v="0"/>
    <d v="2025-12-07T00:00:00"/>
    <n v="5"/>
    <n v="5"/>
    <n v="4"/>
    <n v="9"/>
  </r>
  <r>
    <s v="L1833"/>
    <x v="1"/>
    <x v="0"/>
    <x v="8"/>
    <x v="8"/>
    <x v="9"/>
    <x v="8"/>
    <x v="0"/>
    <x v="0"/>
    <d v="2025-12-04T00:00:00"/>
    <n v="4"/>
    <n v="2"/>
    <n v="4"/>
    <n v="6"/>
  </r>
  <r>
    <s v="L1834"/>
    <x v="2"/>
    <x v="2"/>
    <x v="17"/>
    <x v="1"/>
    <x v="11"/>
    <x v="12"/>
    <x v="0"/>
    <x v="0"/>
    <d v="2025-11-12T00:00:00"/>
    <n v="5"/>
    <n v="4"/>
    <n v="3"/>
    <n v="8"/>
  </r>
  <r>
    <s v="L1835"/>
    <x v="3"/>
    <x v="0"/>
    <x v="30"/>
    <x v="33"/>
    <x v="34"/>
    <x v="41"/>
    <x v="1"/>
    <x v="3"/>
    <m/>
    <n v="1"/>
    <n v="1"/>
    <n v="2"/>
    <m/>
  </r>
  <r>
    <s v="L1836"/>
    <x v="3"/>
    <x v="0"/>
    <x v="12"/>
    <x v="12"/>
    <x v="0"/>
    <x v="0"/>
    <x v="0"/>
    <x v="0"/>
    <d v="2025-11-16T00:00:00"/>
    <n v="4"/>
    <n v="2"/>
    <n v="5"/>
    <n v="2"/>
  </r>
  <r>
    <s v="L1837"/>
    <x v="0"/>
    <x v="0"/>
    <x v="9"/>
    <x v="7"/>
    <x v="6"/>
    <x v="7"/>
    <x v="0"/>
    <x v="0"/>
    <d v="2025-11-21T00:00:00"/>
    <n v="5"/>
    <n v="3"/>
    <n v="5"/>
    <n v="6"/>
  </r>
  <r>
    <s v="L1838"/>
    <x v="1"/>
    <x v="2"/>
    <x v="28"/>
    <x v="21"/>
    <x v="30"/>
    <x v="16"/>
    <x v="0"/>
    <x v="0"/>
    <d v="2025-11-04T00:00:00"/>
    <n v="3"/>
    <n v="1"/>
    <n v="6"/>
    <n v="6"/>
  </r>
  <r>
    <s v="L1839"/>
    <x v="2"/>
    <x v="2"/>
    <x v="11"/>
    <x v="3"/>
    <x v="24"/>
    <x v="21"/>
    <x v="0"/>
    <x v="0"/>
    <d v="2025-11-23T00:00:00"/>
    <n v="3"/>
    <n v="4"/>
    <n v="7"/>
    <n v="9"/>
  </r>
  <r>
    <s v="L1840"/>
    <x v="0"/>
    <x v="1"/>
    <x v="11"/>
    <x v="2"/>
    <x v="2"/>
    <x v="2"/>
    <x v="1"/>
    <x v="3"/>
    <m/>
    <m/>
    <m/>
    <m/>
    <m/>
  </r>
  <r>
    <s v="L1841"/>
    <x v="1"/>
    <x v="0"/>
    <x v="8"/>
    <x v="8"/>
    <x v="38"/>
    <x v="10"/>
    <x v="0"/>
    <x v="0"/>
    <d v="2025-11-27T00:00:00"/>
    <n v="4"/>
    <n v="3"/>
    <n v="6"/>
    <n v="9"/>
  </r>
  <r>
    <s v="L1842"/>
    <x v="0"/>
    <x v="0"/>
    <x v="24"/>
    <x v="21"/>
    <x v="17"/>
    <x v="27"/>
    <x v="0"/>
    <x v="0"/>
    <d v="2025-11-03T00:00:00"/>
    <n v="2"/>
    <n v="5"/>
    <n v="3"/>
    <n v="0"/>
  </r>
  <r>
    <s v="L1843"/>
    <x v="3"/>
    <x v="2"/>
    <x v="3"/>
    <x v="10"/>
    <x v="7"/>
    <x v="4"/>
    <x v="1"/>
    <x v="3"/>
    <m/>
    <n v="4"/>
    <n v="4"/>
    <n v="2"/>
    <m/>
  </r>
  <r>
    <s v="L1844"/>
    <x v="1"/>
    <x v="1"/>
    <x v="9"/>
    <x v="2"/>
    <x v="2"/>
    <x v="2"/>
    <x v="1"/>
    <x v="2"/>
    <m/>
    <m/>
    <m/>
    <m/>
    <m/>
  </r>
  <r>
    <s v="L1845"/>
    <x v="0"/>
    <x v="0"/>
    <x v="7"/>
    <x v="15"/>
    <x v="13"/>
    <x v="6"/>
    <x v="0"/>
    <x v="0"/>
    <d v="2025-11-14T00:00:00"/>
    <n v="3"/>
    <n v="3"/>
    <n v="5"/>
    <n v="7"/>
  </r>
  <r>
    <s v="L1846"/>
    <x v="0"/>
    <x v="0"/>
    <x v="26"/>
    <x v="25"/>
    <x v="15"/>
    <x v="17"/>
    <x v="0"/>
    <x v="0"/>
    <d v="2025-11-11T00:00:00"/>
    <n v="4"/>
    <n v="4"/>
    <n v="2"/>
    <n v="3"/>
  </r>
  <r>
    <s v="L1847"/>
    <x v="2"/>
    <x v="1"/>
    <x v="9"/>
    <x v="2"/>
    <x v="2"/>
    <x v="2"/>
    <x v="1"/>
    <x v="4"/>
    <m/>
    <m/>
    <m/>
    <m/>
    <m/>
  </r>
  <r>
    <s v="L1848"/>
    <x v="0"/>
    <x v="2"/>
    <x v="21"/>
    <x v="22"/>
    <x v="24"/>
    <x v="7"/>
    <x v="0"/>
    <x v="0"/>
    <d v="2025-11-13T00:00:00"/>
    <n v="1"/>
    <n v="3"/>
    <n v="3"/>
    <n v="5"/>
  </r>
  <r>
    <s v="L1849"/>
    <x v="1"/>
    <x v="0"/>
    <x v="10"/>
    <x v="11"/>
    <x v="22"/>
    <x v="18"/>
    <x v="0"/>
    <x v="0"/>
    <d v="2025-11-28T00:00:00"/>
    <n v="1"/>
    <n v="4"/>
    <n v="2"/>
    <n v="6"/>
  </r>
  <r>
    <s v="L1850"/>
    <x v="1"/>
    <x v="0"/>
    <x v="0"/>
    <x v="18"/>
    <x v="8"/>
    <x v="9"/>
    <x v="0"/>
    <x v="0"/>
    <d v="2025-11-12T00:00:00"/>
    <n v="2"/>
    <n v="5"/>
    <n v="2"/>
    <n v="4"/>
  </r>
  <r>
    <s v="L1851"/>
    <x v="2"/>
    <x v="2"/>
    <x v="9"/>
    <x v="24"/>
    <x v="11"/>
    <x v="22"/>
    <x v="0"/>
    <x v="0"/>
    <d v="2025-11-15T00:00:00"/>
    <n v="4"/>
    <n v="2"/>
    <n v="2"/>
    <n v="9"/>
  </r>
  <r>
    <s v="L1852"/>
    <x v="1"/>
    <x v="1"/>
    <x v="30"/>
    <x v="2"/>
    <x v="2"/>
    <x v="2"/>
    <x v="1"/>
    <x v="5"/>
    <m/>
    <m/>
    <m/>
    <m/>
    <m/>
  </r>
  <r>
    <s v="L1853"/>
    <x v="3"/>
    <x v="0"/>
    <x v="27"/>
    <x v="7"/>
    <x v="6"/>
    <x v="15"/>
    <x v="1"/>
    <x v="1"/>
    <m/>
    <n v="4"/>
    <n v="3"/>
    <n v="3"/>
    <m/>
  </r>
  <r>
    <s v="L1854"/>
    <x v="1"/>
    <x v="0"/>
    <x v="17"/>
    <x v="19"/>
    <x v="20"/>
    <x v="19"/>
    <x v="0"/>
    <x v="0"/>
    <d v="2025-11-06T00:00:00"/>
    <n v="4"/>
    <n v="3"/>
    <n v="3"/>
    <n v="2"/>
  </r>
  <r>
    <s v="L1855"/>
    <x v="1"/>
    <x v="2"/>
    <x v="28"/>
    <x v="17"/>
    <x v="20"/>
    <x v="19"/>
    <x v="0"/>
    <x v="0"/>
    <d v="2025-11-17T00:00:00"/>
    <n v="4"/>
    <n v="5"/>
    <n v="3"/>
    <n v="7"/>
  </r>
  <r>
    <s v="L1856"/>
    <x v="0"/>
    <x v="2"/>
    <x v="8"/>
    <x v="34"/>
    <x v="4"/>
    <x v="23"/>
    <x v="0"/>
    <x v="0"/>
    <d v="2025-12-08T00:00:00"/>
    <n v="2"/>
    <n v="2"/>
    <n v="5"/>
    <n v="1"/>
  </r>
  <r>
    <s v="L1857"/>
    <x v="0"/>
    <x v="0"/>
    <x v="7"/>
    <x v="15"/>
    <x v="30"/>
    <x v="6"/>
    <x v="0"/>
    <x v="0"/>
    <d v="2025-10-29T00:00:00"/>
    <n v="3"/>
    <n v="4"/>
    <n v="4"/>
    <n v="3"/>
  </r>
  <r>
    <s v="L1858"/>
    <x v="1"/>
    <x v="0"/>
    <x v="8"/>
    <x v="32"/>
    <x v="33"/>
    <x v="20"/>
    <x v="0"/>
    <x v="0"/>
    <d v="2025-12-08T00:00:00"/>
    <n v="5"/>
    <n v="3"/>
    <n v="7"/>
    <n v="7"/>
  </r>
  <r>
    <s v="L1859"/>
    <x v="2"/>
    <x v="2"/>
    <x v="3"/>
    <x v="11"/>
    <x v="12"/>
    <x v="11"/>
    <x v="0"/>
    <x v="0"/>
    <d v="2025-11-21T00:00:00"/>
    <n v="2"/>
    <n v="2"/>
    <n v="7"/>
    <n v="4"/>
  </r>
  <r>
    <s v="L1860"/>
    <x v="0"/>
    <x v="0"/>
    <x v="5"/>
    <x v="11"/>
    <x v="22"/>
    <x v="8"/>
    <x v="0"/>
    <x v="0"/>
    <d v="2025-12-06T00:00:00"/>
    <n v="3"/>
    <n v="4"/>
    <n v="7"/>
    <n v="2"/>
  </r>
  <r>
    <s v="L1861"/>
    <x v="2"/>
    <x v="0"/>
    <x v="11"/>
    <x v="3"/>
    <x v="3"/>
    <x v="15"/>
    <x v="0"/>
    <x v="0"/>
    <d v="2025-11-21T00:00:00"/>
    <n v="3"/>
    <n v="3"/>
    <n v="2"/>
    <n v="5"/>
  </r>
  <r>
    <s v="L1862"/>
    <x v="1"/>
    <x v="2"/>
    <x v="25"/>
    <x v="13"/>
    <x v="37"/>
    <x v="6"/>
    <x v="1"/>
    <x v="4"/>
    <m/>
    <n v="3"/>
    <n v="3"/>
    <n v="6"/>
    <m/>
  </r>
  <r>
    <s v="L1863"/>
    <x v="1"/>
    <x v="0"/>
    <x v="26"/>
    <x v="25"/>
    <x v="15"/>
    <x v="18"/>
    <x v="0"/>
    <x v="0"/>
    <d v="2025-11-18T00:00:00"/>
    <n v="4"/>
    <n v="4"/>
    <n v="6"/>
    <n v="9"/>
  </r>
  <r>
    <s v="L1864"/>
    <x v="3"/>
    <x v="2"/>
    <x v="28"/>
    <x v="27"/>
    <x v="23"/>
    <x v="27"/>
    <x v="0"/>
    <x v="0"/>
    <d v="2025-11-06T00:00:00"/>
    <n v="2"/>
    <n v="5"/>
    <n v="4"/>
    <n v="4"/>
  </r>
  <r>
    <s v="L1865"/>
    <x v="0"/>
    <x v="1"/>
    <x v="0"/>
    <x v="2"/>
    <x v="2"/>
    <x v="2"/>
    <x v="1"/>
    <x v="2"/>
    <m/>
    <m/>
    <m/>
    <m/>
    <m/>
  </r>
  <r>
    <s v="L1866"/>
    <x v="1"/>
    <x v="0"/>
    <x v="0"/>
    <x v="9"/>
    <x v="26"/>
    <x v="5"/>
    <x v="0"/>
    <x v="0"/>
    <d v="2025-11-10T00:00:00"/>
    <n v="3"/>
    <n v="2"/>
    <n v="2"/>
    <n v="9"/>
  </r>
  <r>
    <s v="L1867"/>
    <x v="3"/>
    <x v="2"/>
    <x v="18"/>
    <x v="0"/>
    <x v="8"/>
    <x v="9"/>
    <x v="0"/>
    <x v="0"/>
    <d v="2025-11-12T00:00:00"/>
    <n v="5"/>
    <n v="3"/>
    <n v="2"/>
    <n v="9"/>
  </r>
  <r>
    <s v="L1868"/>
    <x v="0"/>
    <x v="0"/>
    <x v="2"/>
    <x v="13"/>
    <x v="13"/>
    <x v="28"/>
    <x v="0"/>
    <x v="0"/>
    <d v="2025-11-06T00:00:00"/>
    <n v="5"/>
    <n v="4"/>
    <n v="2"/>
    <n v="5"/>
  </r>
  <r>
    <s v="L1869"/>
    <x v="1"/>
    <x v="0"/>
    <x v="30"/>
    <x v="33"/>
    <x v="29"/>
    <x v="35"/>
    <x v="0"/>
    <x v="0"/>
    <d v="2025-10-25T00:00:00"/>
    <n v="1"/>
    <n v="3"/>
    <n v="3"/>
    <n v="1"/>
  </r>
  <r>
    <s v="L1870"/>
    <x v="1"/>
    <x v="0"/>
    <x v="19"/>
    <x v="23"/>
    <x v="10"/>
    <x v="23"/>
    <x v="0"/>
    <x v="0"/>
    <d v="2025-12-08T00:00:00"/>
    <n v="3"/>
    <n v="4"/>
    <n v="7"/>
    <n v="8"/>
  </r>
  <r>
    <s v="L1871"/>
    <x v="0"/>
    <x v="0"/>
    <x v="1"/>
    <x v="19"/>
    <x v="20"/>
    <x v="12"/>
    <x v="0"/>
    <x v="0"/>
    <d v="2025-11-06T00:00:00"/>
    <n v="2"/>
    <n v="3"/>
    <n v="5"/>
    <n v="7"/>
  </r>
  <r>
    <s v="L1872"/>
    <x v="0"/>
    <x v="0"/>
    <x v="24"/>
    <x v="20"/>
    <x v="21"/>
    <x v="14"/>
    <x v="0"/>
    <x v="0"/>
    <d v="2025-11-03T00:00:00"/>
    <n v="4"/>
    <n v="1"/>
    <n v="3"/>
    <n v="5"/>
  </r>
  <r>
    <s v="L1873"/>
    <x v="0"/>
    <x v="2"/>
    <x v="13"/>
    <x v="13"/>
    <x v="30"/>
    <x v="38"/>
    <x v="0"/>
    <x v="0"/>
    <d v="2025-11-08T00:00:00"/>
    <n v="1"/>
    <n v="5"/>
    <n v="2"/>
    <n v="4"/>
  </r>
  <r>
    <s v="L1874"/>
    <x v="1"/>
    <x v="2"/>
    <x v="19"/>
    <x v="23"/>
    <x v="31"/>
    <x v="34"/>
    <x v="0"/>
    <x v="0"/>
    <d v="2025-11-20T00:00:00"/>
    <n v="3"/>
    <n v="2"/>
    <n v="4"/>
    <n v="3"/>
  </r>
  <r>
    <s v="L1875"/>
    <x v="1"/>
    <x v="2"/>
    <x v="23"/>
    <x v="18"/>
    <x v="8"/>
    <x v="9"/>
    <x v="0"/>
    <x v="0"/>
    <d v="2025-11-20T00:00:00"/>
    <n v="4"/>
    <n v="5"/>
    <n v="2"/>
    <n v="6"/>
  </r>
  <r>
    <s v="L1876"/>
    <x v="3"/>
    <x v="0"/>
    <x v="28"/>
    <x v="27"/>
    <x v="23"/>
    <x v="14"/>
    <x v="0"/>
    <x v="0"/>
    <d v="2025-11-08T00:00:00"/>
    <n v="2"/>
    <n v="5"/>
    <n v="2"/>
    <n v="2"/>
  </r>
  <r>
    <s v="L1877"/>
    <x v="2"/>
    <x v="1"/>
    <x v="25"/>
    <x v="2"/>
    <x v="2"/>
    <x v="2"/>
    <x v="1"/>
    <x v="4"/>
    <m/>
    <m/>
    <m/>
    <m/>
    <m/>
  </r>
  <r>
    <s v="L1878"/>
    <x v="0"/>
    <x v="0"/>
    <x v="5"/>
    <x v="23"/>
    <x v="31"/>
    <x v="18"/>
    <x v="0"/>
    <x v="0"/>
    <d v="2025-11-24T00:00:00"/>
    <n v="2"/>
    <n v="2"/>
    <n v="5"/>
    <n v="4"/>
  </r>
  <r>
    <s v="L1879"/>
    <x v="1"/>
    <x v="2"/>
    <x v="22"/>
    <x v="25"/>
    <x v="31"/>
    <x v="26"/>
    <x v="0"/>
    <x v="0"/>
    <d v="2025-11-17T00:00:00"/>
    <n v="1"/>
    <n v="5"/>
    <n v="2"/>
    <n v="4"/>
  </r>
  <r>
    <s v="L1880"/>
    <x v="1"/>
    <x v="0"/>
    <x v="21"/>
    <x v="22"/>
    <x v="6"/>
    <x v="15"/>
    <x v="0"/>
    <x v="0"/>
    <d v="2025-11-03T00:00:00"/>
    <n v="1"/>
    <n v="1"/>
    <n v="3"/>
    <n v="2"/>
  </r>
  <r>
    <s v="L1881"/>
    <x v="0"/>
    <x v="1"/>
    <x v="28"/>
    <x v="2"/>
    <x v="2"/>
    <x v="2"/>
    <x v="1"/>
    <x v="4"/>
    <m/>
    <m/>
    <m/>
    <m/>
    <m/>
  </r>
  <r>
    <s v="L1882"/>
    <x v="2"/>
    <x v="0"/>
    <x v="23"/>
    <x v="31"/>
    <x v="26"/>
    <x v="17"/>
    <x v="0"/>
    <x v="0"/>
    <d v="2025-11-28T00:00:00"/>
    <n v="3"/>
    <n v="4"/>
    <n v="6"/>
    <n v="4"/>
  </r>
  <r>
    <s v="L1883"/>
    <x v="0"/>
    <x v="1"/>
    <x v="28"/>
    <x v="2"/>
    <x v="2"/>
    <x v="2"/>
    <x v="1"/>
    <x v="2"/>
    <m/>
    <m/>
    <m/>
    <m/>
    <m/>
  </r>
  <r>
    <s v="L1884"/>
    <x v="2"/>
    <x v="2"/>
    <x v="5"/>
    <x v="4"/>
    <x v="10"/>
    <x v="4"/>
    <x v="0"/>
    <x v="0"/>
    <d v="2025-12-02T00:00:00"/>
    <n v="4"/>
    <n v="2"/>
    <n v="5"/>
    <n v="7"/>
  </r>
  <r>
    <s v="L1885"/>
    <x v="1"/>
    <x v="2"/>
    <x v="3"/>
    <x v="34"/>
    <x v="9"/>
    <x v="10"/>
    <x v="0"/>
    <x v="0"/>
    <d v="2025-11-29T00:00:00"/>
    <n v="5"/>
    <n v="4"/>
    <n v="7"/>
    <n v="3"/>
  </r>
  <r>
    <s v="L1886"/>
    <x v="2"/>
    <x v="1"/>
    <x v="24"/>
    <x v="2"/>
    <x v="2"/>
    <x v="2"/>
    <x v="1"/>
    <x v="3"/>
    <m/>
    <m/>
    <m/>
    <m/>
    <m/>
  </r>
  <r>
    <s v="L1887"/>
    <x v="3"/>
    <x v="0"/>
    <x v="1"/>
    <x v="14"/>
    <x v="11"/>
    <x v="15"/>
    <x v="0"/>
    <x v="0"/>
    <d v="2025-11-17T00:00:00"/>
    <n v="4"/>
    <n v="3"/>
    <n v="5"/>
    <n v="7"/>
  </r>
  <r>
    <s v="L1888"/>
    <x v="1"/>
    <x v="0"/>
    <x v="22"/>
    <x v="12"/>
    <x v="8"/>
    <x v="26"/>
    <x v="0"/>
    <x v="0"/>
    <d v="2025-11-22T00:00:00"/>
    <n v="2"/>
    <n v="1"/>
    <n v="5"/>
    <n v="9"/>
  </r>
  <r>
    <s v="L1889"/>
    <x v="3"/>
    <x v="0"/>
    <x v="13"/>
    <x v="15"/>
    <x v="30"/>
    <x v="38"/>
    <x v="0"/>
    <x v="0"/>
    <d v="2025-10-30T00:00:00"/>
    <n v="2"/>
    <n v="4"/>
    <n v="2"/>
    <n v="4"/>
  </r>
  <r>
    <s v="L1890"/>
    <x v="0"/>
    <x v="1"/>
    <x v="19"/>
    <x v="2"/>
    <x v="2"/>
    <x v="2"/>
    <x v="1"/>
    <x v="3"/>
    <m/>
    <m/>
    <m/>
    <m/>
    <m/>
  </r>
  <r>
    <s v="L1891"/>
    <x v="0"/>
    <x v="0"/>
    <x v="10"/>
    <x v="10"/>
    <x v="7"/>
    <x v="8"/>
    <x v="0"/>
    <x v="0"/>
    <d v="2025-11-20T00:00:00"/>
    <n v="3"/>
    <n v="4"/>
    <n v="5"/>
    <n v="7"/>
  </r>
  <r>
    <s v="L1892"/>
    <x v="0"/>
    <x v="0"/>
    <x v="18"/>
    <x v="0"/>
    <x v="18"/>
    <x v="0"/>
    <x v="0"/>
    <x v="0"/>
    <d v="2025-11-13T00:00:00"/>
    <n v="5"/>
    <n v="2"/>
    <n v="7"/>
    <n v="7"/>
  </r>
  <r>
    <s v="L1893"/>
    <x v="2"/>
    <x v="0"/>
    <x v="2"/>
    <x v="26"/>
    <x v="36"/>
    <x v="28"/>
    <x v="0"/>
    <x v="0"/>
    <d v="2025-10-24T00:00:00"/>
    <n v="3"/>
    <n v="3"/>
    <n v="5"/>
    <n v="7"/>
  </r>
  <r>
    <s v="L1894"/>
    <x v="1"/>
    <x v="0"/>
    <x v="17"/>
    <x v="17"/>
    <x v="21"/>
    <x v="14"/>
    <x v="0"/>
    <x v="0"/>
    <d v="2025-10-29T00:00:00"/>
    <n v="2"/>
    <n v="2"/>
    <n v="3"/>
    <n v="1"/>
  </r>
  <r>
    <s v="L1895"/>
    <x v="0"/>
    <x v="0"/>
    <x v="3"/>
    <x v="11"/>
    <x v="10"/>
    <x v="13"/>
    <x v="1"/>
    <x v="5"/>
    <m/>
    <n v="2"/>
    <n v="3"/>
    <n v="4"/>
    <m/>
  </r>
  <r>
    <s v="L1896"/>
    <x v="0"/>
    <x v="1"/>
    <x v="13"/>
    <x v="2"/>
    <x v="2"/>
    <x v="2"/>
    <x v="1"/>
    <x v="5"/>
    <m/>
    <m/>
    <m/>
    <m/>
    <m/>
  </r>
  <r>
    <s v="L1897"/>
    <x v="1"/>
    <x v="1"/>
    <x v="13"/>
    <x v="2"/>
    <x v="2"/>
    <x v="2"/>
    <x v="1"/>
    <x v="3"/>
    <m/>
    <m/>
    <m/>
    <m/>
    <m/>
  </r>
  <r>
    <s v="L1898"/>
    <x v="0"/>
    <x v="1"/>
    <x v="21"/>
    <x v="2"/>
    <x v="2"/>
    <x v="2"/>
    <x v="1"/>
    <x v="1"/>
    <m/>
    <m/>
    <m/>
    <m/>
    <m/>
  </r>
  <r>
    <s v="L1899"/>
    <x v="3"/>
    <x v="2"/>
    <x v="17"/>
    <x v="19"/>
    <x v="17"/>
    <x v="27"/>
    <x v="0"/>
    <x v="0"/>
    <d v="2025-11-15T00:00:00"/>
    <n v="4"/>
    <n v="2"/>
    <n v="3"/>
    <n v="9"/>
  </r>
  <r>
    <s v="L1900"/>
    <x v="1"/>
    <x v="0"/>
    <x v="19"/>
    <x v="4"/>
    <x v="4"/>
    <x v="4"/>
    <x v="0"/>
    <x v="0"/>
    <d v="2025-12-02T00:00:00"/>
    <n v="5"/>
    <n v="4"/>
    <n v="3"/>
    <n v="10"/>
  </r>
  <r>
    <s v="L1901"/>
    <x v="1"/>
    <x v="0"/>
    <x v="14"/>
    <x v="21"/>
    <x v="23"/>
    <x v="27"/>
    <x v="0"/>
    <x v="0"/>
    <d v="2025-11-01T00:00:00"/>
    <n v="4"/>
    <n v="4"/>
    <n v="4"/>
    <n v="0"/>
  </r>
  <r>
    <s v="L1902"/>
    <x v="1"/>
    <x v="0"/>
    <x v="7"/>
    <x v="30"/>
    <x v="37"/>
    <x v="38"/>
    <x v="0"/>
    <x v="0"/>
    <d v="2025-10-25T00:00:00"/>
    <n v="4"/>
    <n v="1"/>
    <n v="4"/>
    <n v="5"/>
  </r>
  <r>
    <s v="L1903"/>
    <x v="3"/>
    <x v="0"/>
    <x v="26"/>
    <x v="0"/>
    <x v="0"/>
    <x v="0"/>
    <x v="0"/>
    <x v="0"/>
    <d v="2025-11-29T00:00:00"/>
    <n v="3"/>
    <n v="4"/>
    <n v="5"/>
    <n v="9"/>
  </r>
  <r>
    <s v="L1904"/>
    <x v="1"/>
    <x v="1"/>
    <x v="3"/>
    <x v="2"/>
    <x v="2"/>
    <x v="2"/>
    <x v="1"/>
    <x v="4"/>
    <m/>
    <m/>
    <m/>
    <m/>
    <m/>
  </r>
  <r>
    <s v="L1905"/>
    <x v="3"/>
    <x v="0"/>
    <x v="2"/>
    <x v="6"/>
    <x v="13"/>
    <x v="38"/>
    <x v="0"/>
    <x v="0"/>
    <d v="2025-10-25T00:00:00"/>
    <n v="4"/>
    <n v="5"/>
    <n v="3"/>
    <n v="7"/>
  </r>
  <r>
    <s v="L1906"/>
    <x v="1"/>
    <x v="0"/>
    <x v="13"/>
    <x v="13"/>
    <x v="13"/>
    <x v="28"/>
    <x v="0"/>
    <x v="0"/>
    <d v="2025-10-25T00:00:00"/>
    <n v="1"/>
    <n v="4"/>
    <n v="2"/>
    <n v="4"/>
  </r>
  <r>
    <s v="L1907"/>
    <x v="2"/>
    <x v="2"/>
    <x v="2"/>
    <x v="29"/>
    <x v="36"/>
    <x v="38"/>
    <x v="0"/>
    <x v="0"/>
    <d v="2025-10-31T00:00:00"/>
    <n v="1"/>
    <n v="5"/>
    <n v="6"/>
    <n v="2"/>
  </r>
  <r>
    <s v="L1908"/>
    <x v="0"/>
    <x v="0"/>
    <x v="9"/>
    <x v="24"/>
    <x v="6"/>
    <x v="1"/>
    <x v="0"/>
    <x v="0"/>
    <d v="2025-11-25T00:00:00"/>
    <n v="4"/>
    <n v="4"/>
    <n v="6"/>
    <n v="8"/>
  </r>
  <r>
    <s v="L1909"/>
    <x v="2"/>
    <x v="0"/>
    <x v="19"/>
    <x v="4"/>
    <x v="7"/>
    <x v="36"/>
    <x v="0"/>
    <x v="0"/>
    <d v="2025-11-28T00:00:00"/>
    <n v="5"/>
    <n v="5"/>
    <n v="6"/>
    <n v="2"/>
  </r>
  <r>
    <s v="L1910"/>
    <x v="0"/>
    <x v="0"/>
    <x v="19"/>
    <x v="11"/>
    <x v="4"/>
    <x v="4"/>
    <x v="0"/>
    <x v="0"/>
    <d v="2025-12-01T00:00:00"/>
    <n v="4"/>
    <n v="5"/>
    <n v="3"/>
    <n v="4"/>
  </r>
  <r>
    <s v="L1911"/>
    <x v="3"/>
    <x v="2"/>
    <x v="24"/>
    <x v="21"/>
    <x v="23"/>
    <x v="12"/>
    <x v="0"/>
    <x v="0"/>
    <d v="2025-11-09T00:00:00"/>
    <n v="2"/>
    <n v="4"/>
    <n v="7"/>
    <n v="1"/>
  </r>
  <r>
    <s v="L1912"/>
    <x v="2"/>
    <x v="2"/>
    <x v="23"/>
    <x v="16"/>
    <x v="26"/>
    <x v="9"/>
    <x v="0"/>
    <x v="0"/>
    <d v="2025-11-17T00:00:00"/>
    <n v="2"/>
    <n v="5"/>
    <n v="4"/>
    <n v="8"/>
  </r>
  <r>
    <s v="L1913"/>
    <x v="1"/>
    <x v="0"/>
    <x v="1"/>
    <x v="24"/>
    <x v="25"/>
    <x v="31"/>
    <x v="0"/>
    <x v="0"/>
    <d v="2025-11-15T00:00:00"/>
    <n v="5"/>
    <n v="1"/>
    <n v="5"/>
    <n v="9"/>
  </r>
  <r>
    <s v="L1914"/>
    <x v="0"/>
    <x v="2"/>
    <x v="2"/>
    <x v="26"/>
    <x v="36"/>
    <x v="28"/>
    <x v="0"/>
    <x v="0"/>
    <d v="2025-10-23T00:00:00"/>
    <n v="3"/>
    <n v="3"/>
    <n v="5"/>
    <n v="4"/>
  </r>
  <r>
    <s v="L1915"/>
    <x v="0"/>
    <x v="2"/>
    <x v="14"/>
    <x v="15"/>
    <x v="14"/>
    <x v="27"/>
    <x v="0"/>
    <x v="0"/>
    <d v="2025-10-31T00:00:00"/>
    <n v="1"/>
    <n v="5"/>
    <n v="6"/>
    <n v="1"/>
  </r>
  <r>
    <s v="L1916"/>
    <x v="2"/>
    <x v="2"/>
    <x v="17"/>
    <x v="21"/>
    <x v="17"/>
    <x v="22"/>
    <x v="0"/>
    <x v="0"/>
    <d v="2025-11-04T00:00:00"/>
    <n v="1"/>
    <n v="5"/>
    <n v="5"/>
    <n v="6"/>
  </r>
  <r>
    <s v="L1917"/>
    <x v="3"/>
    <x v="2"/>
    <x v="30"/>
    <x v="6"/>
    <x v="29"/>
    <x v="29"/>
    <x v="0"/>
    <x v="0"/>
    <d v="2025-10-19T00:00:00"/>
    <n v="3"/>
    <n v="1"/>
    <n v="2"/>
    <n v="8"/>
  </r>
  <r>
    <s v="L1918"/>
    <x v="2"/>
    <x v="2"/>
    <x v="13"/>
    <x v="27"/>
    <x v="13"/>
    <x v="28"/>
    <x v="0"/>
    <x v="0"/>
    <d v="2025-10-31T00:00:00"/>
    <n v="4"/>
    <n v="1"/>
    <n v="2"/>
    <n v="1"/>
  </r>
  <r>
    <s v="L1919"/>
    <x v="3"/>
    <x v="0"/>
    <x v="15"/>
    <x v="23"/>
    <x v="31"/>
    <x v="34"/>
    <x v="0"/>
    <x v="0"/>
    <d v="2025-11-25T00:00:00"/>
    <n v="5"/>
    <n v="2"/>
    <n v="4"/>
    <n v="6"/>
  </r>
  <r>
    <s v="L1920"/>
    <x v="3"/>
    <x v="0"/>
    <x v="4"/>
    <x v="3"/>
    <x v="3"/>
    <x v="1"/>
    <x v="0"/>
    <x v="0"/>
    <d v="2025-11-15T00:00:00"/>
    <n v="4"/>
    <n v="3"/>
    <n v="5"/>
    <n v="0"/>
  </r>
  <r>
    <s v="L1921"/>
    <x v="0"/>
    <x v="1"/>
    <x v="16"/>
    <x v="2"/>
    <x v="2"/>
    <x v="2"/>
    <x v="1"/>
    <x v="1"/>
    <m/>
    <m/>
    <m/>
    <m/>
    <m/>
  </r>
  <r>
    <s v="L1922"/>
    <x v="2"/>
    <x v="0"/>
    <x v="7"/>
    <x v="15"/>
    <x v="37"/>
    <x v="28"/>
    <x v="0"/>
    <x v="0"/>
    <d v="2025-11-04T00:00:00"/>
    <n v="3"/>
    <n v="2"/>
    <n v="3"/>
    <n v="6"/>
  </r>
  <r>
    <s v="L1923"/>
    <x v="2"/>
    <x v="0"/>
    <x v="15"/>
    <x v="23"/>
    <x v="22"/>
    <x v="11"/>
    <x v="0"/>
    <x v="0"/>
    <d v="2025-11-21T00:00:00"/>
    <n v="5"/>
    <n v="5"/>
    <n v="5"/>
    <n v="6"/>
  </r>
  <r>
    <s v="L1924"/>
    <x v="3"/>
    <x v="2"/>
    <x v="25"/>
    <x v="26"/>
    <x v="32"/>
    <x v="29"/>
    <x v="0"/>
    <x v="0"/>
    <d v="2025-10-21T00:00:00"/>
    <n v="1"/>
    <n v="1"/>
    <n v="3"/>
    <n v="6"/>
  </r>
  <r>
    <s v="L1925"/>
    <x v="2"/>
    <x v="2"/>
    <x v="6"/>
    <x v="7"/>
    <x v="24"/>
    <x v="21"/>
    <x v="0"/>
    <x v="0"/>
    <d v="2025-11-09T00:00:00"/>
    <n v="1"/>
    <n v="5"/>
    <n v="7"/>
    <n v="2"/>
  </r>
  <r>
    <s v="L1926"/>
    <x v="1"/>
    <x v="0"/>
    <x v="11"/>
    <x v="22"/>
    <x v="16"/>
    <x v="21"/>
    <x v="0"/>
    <x v="0"/>
    <d v="2025-11-08T00:00:00"/>
    <n v="4"/>
    <n v="4"/>
    <n v="6"/>
    <n v="7"/>
  </r>
  <r>
    <s v="L1927"/>
    <x v="1"/>
    <x v="2"/>
    <x v="22"/>
    <x v="12"/>
    <x v="15"/>
    <x v="26"/>
    <x v="1"/>
    <x v="4"/>
    <m/>
    <n v="2"/>
    <n v="3"/>
    <n v="3"/>
    <m/>
  </r>
  <r>
    <s v="L1928"/>
    <x v="2"/>
    <x v="0"/>
    <x v="9"/>
    <x v="14"/>
    <x v="1"/>
    <x v="1"/>
    <x v="0"/>
    <x v="0"/>
    <d v="2025-11-09T00:00:00"/>
    <n v="3"/>
    <n v="4"/>
    <n v="7"/>
    <n v="8"/>
  </r>
  <r>
    <s v="L1929"/>
    <x v="2"/>
    <x v="0"/>
    <x v="16"/>
    <x v="5"/>
    <x v="3"/>
    <x v="32"/>
    <x v="0"/>
    <x v="0"/>
    <d v="2025-11-26T00:00:00"/>
    <n v="3"/>
    <n v="1"/>
    <n v="6"/>
    <n v="1"/>
  </r>
  <r>
    <s v="L1930"/>
    <x v="3"/>
    <x v="0"/>
    <x v="23"/>
    <x v="18"/>
    <x v="28"/>
    <x v="1"/>
    <x v="0"/>
    <x v="0"/>
    <d v="2025-11-10T00:00:00"/>
    <n v="4"/>
    <n v="1"/>
    <n v="2"/>
    <n v="7"/>
  </r>
  <r>
    <s v="L1931"/>
    <x v="1"/>
    <x v="2"/>
    <x v="7"/>
    <x v="15"/>
    <x v="5"/>
    <x v="38"/>
    <x v="0"/>
    <x v="0"/>
    <d v="2025-11-02T00:00:00"/>
    <n v="3"/>
    <n v="1"/>
    <n v="5"/>
    <n v="9"/>
  </r>
  <r>
    <s v="L1932"/>
    <x v="1"/>
    <x v="0"/>
    <x v="11"/>
    <x v="24"/>
    <x v="1"/>
    <x v="1"/>
    <x v="0"/>
    <x v="0"/>
    <d v="2025-11-16T00:00:00"/>
    <n v="1"/>
    <n v="3"/>
    <n v="7"/>
    <n v="2"/>
  </r>
  <r>
    <s v="L1933"/>
    <x v="0"/>
    <x v="0"/>
    <x v="16"/>
    <x v="16"/>
    <x v="16"/>
    <x v="32"/>
    <x v="1"/>
    <x v="3"/>
    <m/>
    <n v="4"/>
    <n v="2"/>
    <n v="4"/>
    <m/>
  </r>
  <r>
    <s v="L1934"/>
    <x v="3"/>
    <x v="2"/>
    <x v="24"/>
    <x v="27"/>
    <x v="23"/>
    <x v="19"/>
    <x v="0"/>
    <x v="0"/>
    <d v="2025-11-12T00:00:00"/>
    <n v="1"/>
    <n v="5"/>
    <n v="5"/>
    <n v="9"/>
  </r>
  <r>
    <s v="L1935"/>
    <x v="0"/>
    <x v="0"/>
    <x v="8"/>
    <x v="32"/>
    <x v="39"/>
    <x v="43"/>
    <x v="0"/>
    <x v="0"/>
    <d v="2025-12-15T00:00:00"/>
    <n v="5"/>
    <n v="5"/>
    <n v="6"/>
    <n v="2"/>
  </r>
  <r>
    <s v="L1936"/>
    <x v="1"/>
    <x v="0"/>
    <x v="18"/>
    <x v="0"/>
    <x v="15"/>
    <x v="34"/>
    <x v="0"/>
    <x v="0"/>
    <d v="2025-11-22T00:00:00"/>
    <n v="5"/>
    <n v="5"/>
    <n v="5"/>
    <n v="4"/>
  </r>
  <r>
    <s v="L1937"/>
    <x v="3"/>
    <x v="1"/>
    <x v="30"/>
    <x v="2"/>
    <x v="2"/>
    <x v="2"/>
    <x v="1"/>
    <x v="5"/>
    <m/>
    <m/>
    <m/>
    <m/>
    <m/>
  </r>
  <r>
    <s v="L1938"/>
    <x v="2"/>
    <x v="2"/>
    <x v="15"/>
    <x v="25"/>
    <x v="31"/>
    <x v="34"/>
    <x v="0"/>
    <x v="0"/>
    <d v="2025-11-16T00:00:00"/>
    <n v="2"/>
    <n v="5"/>
    <n v="4"/>
    <n v="7"/>
  </r>
  <r>
    <s v="L1939"/>
    <x v="3"/>
    <x v="1"/>
    <x v="19"/>
    <x v="2"/>
    <x v="2"/>
    <x v="2"/>
    <x v="1"/>
    <x v="5"/>
    <m/>
    <m/>
    <m/>
    <m/>
    <m/>
  </r>
  <r>
    <s v="L1940"/>
    <x v="2"/>
    <x v="0"/>
    <x v="20"/>
    <x v="34"/>
    <x v="38"/>
    <x v="10"/>
    <x v="0"/>
    <x v="0"/>
    <d v="2025-12-04T00:00:00"/>
    <n v="3"/>
    <n v="5"/>
    <n v="6"/>
    <n v="8"/>
  </r>
  <r>
    <s v="L1941"/>
    <x v="2"/>
    <x v="0"/>
    <x v="3"/>
    <x v="34"/>
    <x v="4"/>
    <x v="8"/>
    <x v="0"/>
    <x v="0"/>
    <d v="2025-11-30T00:00:00"/>
    <n v="5"/>
    <n v="2"/>
    <n v="6"/>
    <n v="5"/>
  </r>
  <r>
    <s v="L1942"/>
    <x v="3"/>
    <x v="2"/>
    <x v="26"/>
    <x v="0"/>
    <x v="0"/>
    <x v="26"/>
    <x v="0"/>
    <x v="0"/>
    <d v="2025-11-17T00:00:00"/>
    <n v="3"/>
    <n v="4"/>
    <n v="4"/>
    <n v="4"/>
  </r>
  <r>
    <s v="L1943"/>
    <x v="2"/>
    <x v="0"/>
    <x v="16"/>
    <x v="3"/>
    <x v="3"/>
    <x v="1"/>
    <x v="0"/>
    <x v="0"/>
    <d v="2025-11-08T00:00:00"/>
    <n v="1"/>
    <n v="3"/>
    <n v="5"/>
    <n v="2"/>
  </r>
  <r>
    <s v="L1944"/>
    <x v="0"/>
    <x v="2"/>
    <x v="29"/>
    <x v="1"/>
    <x v="11"/>
    <x v="31"/>
    <x v="0"/>
    <x v="0"/>
    <d v="2025-11-13T00:00:00"/>
    <n v="4"/>
    <n v="4"/>
    <n v="4"/>
    <n v="3"/>
  </r>
  <r>
    <s v="L1945"/>
    <x v="1"/>
    <x v="0"/>
    <x v="11"/>
    <x v="5"/>
    <x v="28"/>
    <x v="32"/>
    <x v="0"/>
    <x v="0"/>
    <d v="2025-11-18T00:00:00"/>
    <n v="5"/>
    <n v="4"/>
    <n v="3"/>
    <n v="6"/>
  </r>
  <r>
    <s v="L1946"/>
    <x v="2"/>
    <x v="2"/>
    <x v="0"/>
    <x v="0"/>
    <x v="15"/>
    <x v="17"/>
    <x v="0"/>
    <x v="0"/>
    <d v="2025-11-25T00:00:00"/>
    <n v="4"/>
    <n v="5"/>
    <n v="2"/>
    <n v="6"/>
  </r>
  <r>
    <s v="L1947"/>
    <x v="0"/>
    <x v="1"/>
    <x v="8"/>
    <x v="2"/>
    <x v="2"/>
    <x v="2"/>
    <x v="1"/>
    <x v="1"/>
    <m/>
    <m/>
    <m/>
    <m/>
    <m/>
  </r>
  <r>
    <s v="L1948"/>
    <x v="2"/>
    <x v="0"/>
    <x v="2"/>
    <x v="13"/>
    <x v="30"/>
    <x v="6"/>
    <x v="0"/>
    <x v="0"/>
    <d v="2025-11-02T00:00:00"/>
    <n v="5"/>
    <n v="5"/>
    <n v="4"/>
    <n v="8"/>
  </r>
  <r>
    <s v="L1949"/>
    <x v="1"/>
    <x v="0"/>
    <x v="30"/>
    <x v="6"/>
    <x v="36"/>
    <x v="38"/>
    <x v="0"/>
    <x v="0"/>
    <d v="2025-11-04T00:00:00"/>
    <n v="3"/>
    <n v="2"/>
    <n v="6"/>
    <n v="2"/>
  </r>
  <r>
    <s v="L1950"/>
    <x v="0"/>
    <x v="2"/>
    <x v="6"/>
    <x v="16"/>
    <x v="28"/>
    <x v="32"/>
    <x v="0"/>
    <x v="0"/>
    <d v="2025-11-21T00:00:00"/>
    <n v="5"/>
    <n v="3"/>
    <n v="3"/>
    <n v="3"/>
  </r>
  <r>
    <s v="L1951"/>
    <x v="1"/>
    <x v="2"/>
    <x v="3"/>
    <x v="34"/>
    <x v="22"/>
    <x v="18"/>
    <x v="0"/>
    <x v="0"/>
    <d v="2025-11-28T00:00:00"/>
    <n v="5"/>
    <n v="1"/>
    <n v="2"/>
    <n v="1"/>
  </r>
  <r>
    <s v="L1952"/>
    <x v="1"/>
    <x v="0"/>
    <x v="27"/>
    <x v="1"/>
    <x v="11"/>
    <x v="31"/>
    <x v="0"/>
    <x v="0"/>
    <d v="2025-11-21T00:00:00"/>
    <n v="1"/>
    <n v="4"/>
    <n v="4"/>
    <n v="1"/>
  </r>
  <r>
    <s v="L1953"/>
    <x v="0"/>
    <x v="0"/>
    <x v="4"/>
    <x v="24"/>
    <x v="25"/>
    <x v="19"/>
    <x v="0"/>
    <x v="0"/>
    <d v="2025-11-03T00:00:00"/>
    <n v="2"/>
    <n v="1"/>
    <n v="2"/>
    <n v="6"/>
  </r>
  <r>
    <s v="L1954"/>
    <x v="0"/>
    <x v="2"/>
    <x v="26"/>
    <x v="18"/>
    <x v="26"/>
    <x v="24"/>
    <x v="0"/>
    <x v="0"/>
    <d v="2025-11-13T00:00:00"/>
    <n v="1"/>
    <n v="3"/>
    <n v="5"/>
    <n v="1"/>
  </r>
  <r>
    <s v="L1955"/>
    <x v="0"/>
    <x v="0"/>
    <x v="7"/>
    <x v="30"/>
    <x v="14"/>
    <x v="27"/>
    <x v="0"/>
    <x v="0"/>
    <d v="2025-11-01T00:00:00"/>
    <n v="4"/>
    <n v="4"/>
    <n v="6"/>
    <n v="2"/>
  </r>
  <r>
    <s v="L1956"/>
    <x v="3"/>
    <x v="1"/>
    <x v="6"/>
    <x v="2"/>
    <x v="2"/>
    <x v="2"/>
    <x v="1"/>
    <x v="5"/>
    <m/>
    <m/>
    <m/>
    <m/>
    <m/>
  </r>
  <r>
    <s v="L1957"/>
    <x v="0"/>
    <x v="0"/>
    <x v="12"/>
    <x v="25"/>
    <x v="18"/>
    <x v="24"/>
    <x v="0"/>
    <x v="0"/>
    <d v="2025-11-11T00:00:00"/>
    <n v="3"/>
    <n v="1"/>
    <n v="4"/>
    <n v="10"/>
  </r>
  <r>
    <s v="L1958"/>
    <x v="0"/>
    <x v="0"/>
    <x v="20"/>
    <x v="34"/>
    <x v="22"/>
    <x v="23"/>
    <x v="0"/>
    <x v="0"/>
    <d v="2025-11-24T00:00:00"/>
    <n v="3"/>
    <n v="1"/>
    <n v="6"/>
    <n v="1"/>
  </r>
  <r>
    <s v="L1959"/>
    <x v="0"/>
    <x v="1"/>
    <x v="11"/>
    <x v="2"/>
    <x v="2"/>
    <x v="2"/>
    <x v="1"/>
    <x v="3"/>
    <m/>
    <m/>
    <m/>
    <m/>
    <m/>
  </r>
  <r>
    <s v="L1960"/>
    <x v="0"/>
    <x v="2"/>
    <x v="25"/>
    <x v="30"/>
    <x v="13"/>
    <x v="38"/>
    <x v="0"/>
    <x v="0"/>
    <d v="2025-10-26T00:00:00"/>
    <n v="5"/>
    <n v="2"/>
    <n v="3"/>
    <n v="8"/>
  </r>
  <r>
    <s v="L1961"/>
    <x v="2"/>
    <x v="0"/>
    <x v="10"/>
    <x v="10"/>
    <x v="4"/>
    <x v="4"/>
    <x v="0"/>
    <x v="0"/>
    <d v="2025-11-30T00:00:00"/>
    <n v="3"/>
    <n v="3"/>
    <n v="3"/>
    <n v="6"/>
  </r>
  <r>
    <s v="L1962"/>
    <x v="3"/>
    <x v="1"/>
    <x v="25"/>
    <x v="2"/>
    <x v="2"/>
    <x v="2"/>
    <x v="1"/>
    <x v="1"/>
    <m/>
    <m/>
    <m/>
    <m/>
    <m/>
  </r>
  <r>
    <s v="L1963"/>
    <x v="1"/>
    <x v="2"/>
    <x v="1"/>
    <x v="19"/>
    <x v="20"/>
    <x v="27"/>
    <x v="0"/>
    <x v="0"/>
    <d v="2025-11-15T00:00:00"/>
    <n v="2"/>
    <n v="3"/>
    <n v="2"/>
    <n v="3"/>
  </r>
  <r>
    <s v="L1964"/>
    <x v="0"/>
    <x v="0"/>
    <x v="18"/>
    <x v="31"/>
    <x v="27"/>
    <x v="5"/>
    <x v="0"/>
    <x v="0"/>
    <d v="2025-11-22T00:00:00"/>
    <n v="2"/>
    <n v="3"/>
    <n v="3"/>
    <n v="9"/>
  </r>
  <r>
    <s v="L1965"/>
    <x v="2"/>
    <x v="0"/>
    <x v="13"/>
    <x v="21"/>
    <x v="23"/>
    <x v="12"/>
    <x v="0"/>
    <x v="0"/>
    <d v="2025-11-18T00:00:00"/>
    <n v="5"/>
    <n v="4"/>
    <n v="7"/>
    <n v="7"/>
  </r>
  <r>
    <s v="L1966"/>
    <x v="2"/>
    <x v="0"/>
    <x v="25"/>
    <x v="30"/>
    <x v="13"/>
    <x v="38"/>
    <x v="0"/>
    <x v="0"/>
    <d v="2025-11-06T00:00:00"/>
    <n v="5"/>
    <n v="2"/>
    <n v="3"/>
    <n v="4"/>
  </r>
  <r>
    <s v="L1967"/>
    <x v="2"/>
    <x v="0"/>
    <x v="13"/>
    <x v="27"/>
    <x v="23"/>
    <x v="27"/>
    <x v="0"/>
    <x v="0"/>
    <d v="2025-11-02T00:00:00"/>
    <n v="4"/>
    <n v="5"/>
    <n v="4"/>
    <n v="7"/>
  </r>
  <r>
    <s v="L1968"/>
    <x v="1"/>
    <x v="1"/>
    <x v="17"/>
    <x v="2"/>
    <x v="2"/>
    <x v="2"/>
    <x v="1"/>
    <x v="4"/>
    <m/>
    <m/>
    <m/>
    <m/>
    <m/>
  </r>
  <r>
    <s v="L1969"/>
    <x v="0"/>
    <x v="0"/>
    <x v="18"/>
    <x v="0"/>
    <x v="0"/>
    <x v="34"/>
    <x v="0"/>
    <x v="0"/>
    <d v="2025-12-03T00:00:00"/>
    <n v="5"/>
    <n v="4"/>
    <n v="6"/>
    <n v="6"/>
  </r>
  <r>
    <s v="L1970"/>
    <x v="3"/>
    <x v="2"/>
    <x v="0"/>
    <x v="31"/>
    <x v="27"/>
    <x v="17"/>
    <x v="0"/>
    <x v="0"/>
    <d v="2025-11-23T00:00:00"/>
    <n v="1"/>
    <n v="3"/>
    <n v="7"/>
    <n v="10"/>
  </r>
  <r>
    <s v="L1971"/>
    <x v="3"/>
    <x v="1"/>
    <x v="23"/>
    <x v="2"/>
    <x v="2"/>
    <x v="2"/>
    <x v="1"/>
    <x v="5"/>
    <m/>
    <m/>
    <m/>
    <m/>
    <m/>
  </r>
  <r>
    <s v="L1972"/>
    <x v="2"/>
    <x v="2"/>
    <x v="21"/>
    <x v="22"/>
    <x v="16"/>
    <x v="7"/>
    <x v="0"/>
    <x v="0"/>
    <d v="2025-11-15T00:00:00"/>
    <n v="1"/>
    <n v="4"/>
    <n v="2"/>
    <n v="10"/>
  </r>
  <r>
    <s v="L1973"/>
    <x v="1"/>
    <x v="0"/>
    <x v="12"/>
    <x v="9"/>
    <x v="27"/>
    <x v="5"/>
    <x v="0"/>
    <x v="0"/>
    <d v="2025-11-26T00:00:00"/>
    <n v="1"/>
    <n v="1"/>
    <n v="3"/>
    <n v="9"/>
  </r>
  <r>
    <s v="L1974"/>
    <x v="1"/>
    <x v="0"/>
    <x v="1"/>
    <x v="19"/>
    <x v="25"/>
    <x v="15"/>
    <x v="0"/>
    <x v="0"/>
    <d v="2025-11-02T00:00:00"/>
    <n v="2"/>
    <n v="4"/>
    <n v="6"/>
    <n v="7"/>
  </r>
  <r>
    <s v="L1975"/>
    <x v="1"/>
    <x v="0"/>
    <x v="27"/>
    <x v="24"/>
    <x v="6"/>
    <x v="7"/>
    <x v="1"/>
    <x v="2"/>
    <m/>
    <n v="3"/>
    <n v="4"/>
    <n v="5"/>
    <m/>
  </r>
  <r>
    <s v="L1976"/>
    <x v="3"/>
    <x v="0"/>
    <x v="18"/>
    <x v="9"/>
    <x v="18"/>
    <x v="24"/>
    <x v="1"/>
    <x v="5"/>
    <m/>
    <n v="4"/>
    <n v="3"/>
    <n v="4"/>
    <m/>
  </r>
  <r>
    <s v="L1977"/>
    <x v="2"/>
    <x v="1"/>
    <x v="16"/>
    <x v="2"/>
    <x v="2"/>
    <x v="2"/>
    <x v="1"/>
    <x v="4"/>
    <m/>
    <m/>
    <m/>
    <m/>
    <m/>
  </r>
  <r>
    <s v="L1978"/>
    <x v="0"/>
    <x v="0"/>
    <x v="29"/>
    <x v="14"/>
    <x v="20"/>
    <x v="19"/>
    <x v="0"/>
    <x v="0"/>
    <d v="2025-11-02T00:00:00"/>
    <n v="5"/>
    <n v="1"/>
    <n v="3"/>
    <n v="8"/>
  </r>
  <r>
    <s v="L1979"/>
    <x v="3"/>
    <x v="0"/>
    <x v="11"/>
    <x v="22"/>
    <x v="24"/>
    <x v="7"/>
    <x v="0"/>
    <x v="0"/>
    <d v="2025-11-19T00:00:00"/>
    <n v="4"/>
    <n v="3"/>
    <n v="3"/>
    <n v="5"/>
  </r>
  <r>
    <s v="L1980"/>
    <x v="2"/>
    <x v="2"/>
    <x v="16"/>
    <x v="22"/>
    <x v="6"/>
    <x v="15"/>
    <x v="0"/>
    <x v="0"/>
    <d v="2025-11-17T00:00:00"/>
    <n v="2"/>
    <n v="1"/>
    <n v="3"/>
    <n v="0"/>
  </r>
  <r>
    <s v="L1981"/>
    <x v="2"/>
    <x v="1"/>
    <x v="18"/>
    <x v="2"/>
    <x v="2"/>
    <x v="2"/>
    <x v="1"/>
    <x v="1"/>
    <m/>
    <m/>
    <m/>
    <m/>
    <m/>
  </r>
  <r>
    <s v="L1982"/>
    <x v="0"/>
    <x v="1"/>
    <x v="4"/>
    <x v="2"/>
    <x v="2"/>
    <x v="2"/>
    <x v="1"/>
    <x v="4"/>
    <m/>
    <m/>
    <m/>
    <m/>
    <m/>
  </r>
  <r>
    <s v="L1983"/>
    <x v="0"/>
    <x v="0"/>
    <x v="7"/>
    <x v="27"/>
    <x v="13"/>
    <x v="14"/>
    <x v="0"/>
    <x v="0"/>
    <d v="2025-10-29T00:00:00"/>
    <n v="5"/>
    <n v="1"/>
    <n v="6"/>
    <n v="2"/>
  </r>
  <r>
    <s v="L1984"/>
    <x v="0"/>
    <x v="2"/>
    <x v="19"/>
    <x v="4"/>
    <x v="12"/>
    <x v="18"/>
    <x v="0"/>
    <x v="0"/>
    <d v="2025-11-28T00:00:00"/>
    <n v="5"/>
    <n v="1"/>
    <n v="4"/>
    <n v="2"/>
  </r>
  <r>
    <s v="L1985"/>
    <x v="1"/>
    <x v="2"/>
    <x v="12"/>
    <x v="0"/>
    <x v="8"/>
    <x v="34"/>
    <x v="0"/>
    <x v="0"/>
    <d v="2025-11-28T00:00:00"/>
    <n v="2"/>
    <n v="3"/>
    <n v="7"/>
    <n v="7"/>
  </r>
  <r>
    <s v="L1986"/>
    <x v="0"/>
    <x v="2"/>
    <x v="7"/>
    <x v="15"/>
    <x v="5"/>
    <x v="6"/>
    <x v="0"/>
    <x v="0"/>
    <d v="2025-10-26T00:00:00"/>
    <n v="3"/>
    <n v="1"/>
    <n v="7"/>
    <n v="8"/>
  </r>
  <r>
    <s v="L1987"/>
    <x v="2"/>
    <x v="2"/>
    <x v="3"/>
    <x v="34"/>
    <x v="4"/>
    <x v="11"/>
    <x v="0"/>
    <x v="0"/>
    <d v="2025-11-20T00:00:00"/>
    <n v="5"/>
    <n v="2"/>
    <n v="4"/>
    <n v="0"/>
  </r>
  <r>
    <s v="L1988"/>
    <x v="0"/>
    <x v="0"/>
    <x v="0"/>
    <x v="9"/>
    <x v="26"/>
    <x v="17"/>
    <x v="0"/>
    <x v="0"/>
    <d v="2025-11-19T00:00:00"/>
    <n v="3"/>
    <n v="2"/>
    <n v="6"/>
    <n v="4"/>
  </r>
  <r>
    <s v="L1989"/>
    <x v="2"/>
    <x v="1"/>
    <x v="0"/>
    <x v="2"/>
    <x v="2"/>
    <x v="2"/>
    <x v="1"/>
    <x v="2"/>
    <m/>
    <m/>
    <m/>
    <m/>
    <m/>
  </r>
  <r>
    <s v="L1990"/>
    <x v="3"/>
    <x v="0"/>
    <x v="10"/>
    <x v="4"/>
    <x v="7"/>
    <x v="4"/>
    <x v="0"/>
    <x v="0"/>
    <d v="2025-12-07T00:00:00"/>
    <n v="2"/>
    <n v="5"/>
    <n v="2"/>
    <n v="6"/>
  </r>
  <r>
    <s v="L1991"/>
    <x v="1"/>
    <x v="2"/>
    <x v="22"/>
    <x v="23"/>
    <x v="31"/>
    <x v="4"/>
    <x v="0"/>
    <x v="0"/>
    <d v="2025-11-27T00:00:00"/>
    <n v="4"/>
    <n v="2"/>
    <n v="7"/>
    <n v="3"/>
  </r>
  <r>
    <s v="L1992"/>
    <x v="3"/>
    <x v="2"/>
    <x v="21"/>
    <x v="18"/>
    <x v="8"/>
    <x v="34"/>
    <x v="0"/>
    <x v="0"/>
    <d v="2025-11-14T00:00:00"/>
    <n v="5"/>
    <n v="5"/>
    <n v="7"/>
    <n v="5"/>
  </r>
  <r>
    <s v="L1993"/>
    <x v="3"/>
    <x v="2"/>
    <x v="15"/>
    <x v="12"/>
    <x v="0"/>
    <x v="26"/>
    <x v="0"/>
    <x v="0"/>
    <d v="2025-11-28T00:00:00"/>
    <n v="3"/>
    <n v="2"/>
    <n v="4"/>
    <n v="7"/>
  </r>
  <r>
    <s v="L1994"/>
    <x v="2"/>
    <x v="2"/>
    <x v="3"/>
    <x v="34"/>
    <x v="7"/>
    <x v="36"/>
    <x v="0"/>
    <x v="0"/>
    <d v="2025-12-09T00:00:00"/>
    <n v="5"/>
    <n v="3"/>
    <n v="6"/>
    <n v="1"/>
  </r>
  <r>
    <s v="L1995"/>
    <x v="3"/>
    <x v="2"/>
    <x v="28"/>
    <x v="21"/>
    <x v="17"/>
    <x v="12"/>
    <x v="0"/>
    <x v="0"/>
    <d v="2025-11-18T00:00:00"/>
    <n v="3"/>
    <n v="5"/>
    <n v="6"/>
    <n v="5"/>
  </r>
  <r>
    <s v="L1996"/>
    <x v="2"/>
    <x v="2"/>
    <x v="4"/>
    <x v="22"/>
    <x v="16"/>
    <x v="1"/>
    <x v="0"/>
    <x v="0"/>
    <d v="2025-11-12T00:00:00"/>
    <n v="5"/>
    <n v="4"/>
    <n v="3"/>
    <n v="7"/>
  </r>
  <r>
    <s v="L1997"/>
    <x v="0"/>
    <x v="0"/>
    <x v="11"/>
    <x v="5"/>
    <x v="28"/>
    <x v="9"/>
    <x v="0"/>
    <x v="0"/>
    <d v="2025-11-19T00:00:00"/>
    <n v="5"/>
    <n v="4"/>
    <n v="6"/>
    <n v="3"/>
  </r>
  <r>
    <s v="L1998"/>
    <x v="0"/>
    <x v="1"/>
    <x v="10"/>
    <x v="2"/>
    <x v="2"/>
    <x v="2"/>
    <x v="1"/>
    <x v="3"/>
    <m/>
    <m/>
    <m/>
    <m/>
    <m/>
  </r>
  <r>
    <s v="L1999"/>
    <x v="2"/>
    <x v="0"/>
    <x v="24"/>
    <x v="19"/>
    <x v="17"/>
    <x v="27"/>
    <x v="0"/>
    <x v="0"/>
    <d v="2025-11-13T00:00:00"/>
    <n v="5"/>
    <n v="2"/>
    <n v="3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CFF96B-12FF-44F7-85B8-8DB98EE68A7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ore Name">
  <location ref="D34:G39" firstHeaderRow="0" firstDataRow="1" firstDataCol="1"/>
  <pivotFields count="20"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numFmtId="164" showAll="0"/>
    <pivotField showAll="0">
      <items count="37">
        <item x="29"/>
        <item x="33"/>
        <item x="26"/>
        <item x="6"/>
        <item x="13"/>
        <item x="15"/>
        <item x="30"/>
        <item x="27"/>
        <item x="21"/>
        <item x="17"/>
        <item x="20"/>
        <item x="19"/>
        <item x="1"/>
        <item x="14"/>
        <item x="24"/>
        <item x="7"/>
        <item x="3"/>
        <item x="22"/>
        <item x="5"/>
        <item x="16"/>
        <item x="31"/>
        <item x="18"/>
        <item x="9"/>
        <item x="0"/>
        <item x="25"/>
        <item x="12"/>
        <item x="28"/>
        <item x="23"/>
        <item x="11"/>
        <item x="4"/>
        <item x="10"/>
        <item x="34"/>
        <item x="35"/>
        <item x="8"/>
        <item x="32"/>
        <item x="2"/>
        <item t="default"/>
      </items>
    </pivotField>
    <pivotField showAll="0">
      <items count="41">
        <item x="35"/>
        <item x="34"/>
        <item x="32"/>
        <item x="29"/>
        <item x="36"/>
        <item x="5"/>
        <item x="37"/>
        <item x="13"/>
        <item x="30"/>
        <item x="14"/>
        <item x="21"/>
        <item x="23"/>
        <item x="17"/>
        <item x="20"/>
        <item x="25"/>
        <item x="11"/>
        <item x="1"/>
        <item x="6"/>
        <item x="3"/>
        <item x="24"/>
        <item x="16"/>
        <item x="28"/>
        <item x="27"/>
        <item x="26"/>
        <item x="18"/>
        <item x="8"/>
        <item x="0"/>
        <item x="15"/>
        <item x="31"/>
        <item x="12"/>
        <item x="10"/>
        <item x="22"/>
        <item x="4"/>
        <item x="7"/>
        <item x="9"/>
        <item x="38"/>
        <item x="33"/>
        <item x="19"/>
        <item x="39"/>
        <item x="2"/>
        <item t="default"/>
      </items>
    </pivotField>
    <pivotField showAll="0">
      <items count="45">
        <item x="41"/>
        <item x="37"/>
        <item x="29"/>
        <item x="35"/>
        <item x="30"/>
        <item x="42"/>
        <item x="28"/>
        <item x="38"/>
        <item x="25"/>
        <item x="6"/>
        <item x="14"/>
        <item x="16"/>
        <item x="27"/>
        <item x="19"/>
        <item x="22"/>
        <item x="12"/>
        <item x="31"/>
        <item x="15"/>
        <item x="3"/>
        <item x="7"/>
        <item x="1"/>
        <item x="32"/>
        <item x="5"/>
        <item x="21"/>
        <item x="9"/>
        <item x="24"/>
        <item x="17"/>
        <item x="26"/>
        <item x="0"/>
        <item x="34"/>
        <item x="18"/>
        <item x="13"/>
        <item x="4"/>
        <item x="11"/>
        <item x="23"/>
        <item x="8"/>
        <item x="36"/>
        <item x="39"/>
        <item x="10"/>
        <item x="33"/>
        <item x="20"/>
        <item x="43"/>
        <item x="40"/>
        <item x="2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TAT Pre-Booking (Days)" fld="10" subtotal="average" baseField="1" baseItem="0"/>
    <dataField name="Average of TAT Booking (Days)" fld="11" subtotal="average" baseField="0" baseItem="1"/>
    <dataField name="Average of TAT Delivery (Days)" fld="12" subtotal="average" baseField="0" baseItem="1"/>
  </dataFields>
  <formats count="7">
    <format dxfId="11">
      <pivotArea outline="0" collapsedLevelsAreSubtotals="1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83B076-6A5F-471F-9F72-AED5788575D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ore Name">
  <location ref="D5:H10" firstHeaderRow="0" firstDataRow="1" firstDataCol="1"/>
  <pivotFields count="20">
    <pivotField showAll="0"/>
    <pivotField axis="axisRow" showAll="0">
      <items count="5">
        <item x="0"/>
        <item x="3"/>
        <item x="1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dataField="1" numFmtId="164" showAll="0">
      <items count="32">
        <item x="2"/>
        <item x="30"/>
        <item x="25"/>
        <item x="7"/>
        <item x="13"/>
        <item x="14"/>
        <item x="28"/>
        <item x="24"/>
        <item x="17"/>
        <item x="29"/>
        <item x="1"/>
        <item x="9"/>
        <item x="27"/>
        <item x="4"/>
        <item x="11"/>
        <item x="6"/>
        <item x="16"/>
        <item x="21"/>
        <item x="23"/>
        <item x="18"/>
        <item x="0"/>
        <item x="26"/>
        <item x="12"/>
        <item x="15"/>
        <item x="22"/>
        <item x="19"/>
        <item x="5"/>
        <item x="3"/>
        <item x="10"/>
        <item x="20"/>
        <item x="8"/>
        <item t="default"/>
      </items>
    </pivotField>
    <pivotField dataField="1" showAll="0">
      <items count="37">
        <item x="29"/>
        <item x="33"/>
        <item x="26"/>
        <item x="6"/>
        <item x="13"/>
        <item x="15"/>
        <item x="30"/>
        <item x="27"/>
        <item x="21"/>
        <item x="17"/>
        <item x="20"/>
        <item x="19"/>
        <item x="1"/>
        <item x="14"/>
        <item x="24"/>
        <item x="7"/>
        <item x="3"/>
        <item x="22"/>
        <item x="5"/>
        <item x="16"/>
        <item x="31"/>
        <item x="18"/>
        <item x="9"/>
        <item x="0"/>
        <item x="25"/>
        <item x="12"/>
        <item x="28"/>
        <item x="23"/>
        <item x="11"/>
        <item x="4"/>
        <item x="10"/>
        <item x="34"/>
        <item x="35"/>
        <item x="8"/>
        <item x="32"/>
        <item x="2"/>
        <item t="default"/>
      </items>
    </pivotField>
    <pivotField dataField="1" showAll="0">
      <items count="41">
        <item x="35"/>
        <item x="34"/>
        <item x="32"/>
        <item x="29"/>
        <item x="36"/>
        <item x="5"/>
        <item x="37"/>
        <item x="13"/>
        <item x="30"/>
        <item x="14"/>
        <item x="21"/>
        <item x="23"/>
        <item x="17"/>
        <item x="20"/>
        <item x="25"/>
        <item x="11"/>
        <item x="1"/>
        <item x="6"/>
        <item x="3"/>
        <item x="24"/>
        <item x="16"/>
        <item x="28"/>
        <item x="27"/>
        <item x="26"/>
        <item x="18"/>
        <item x="8"/>
        <item x="0"/>
        <item x="15"/>
        <item x="31"/>
        <item x="12"/>
        <item x="10"/>
        <item x="22"/>
        <item x="4"/>
        <item x="7"/>
        <item x="9"/>
        <item x="38"/>
        <item x="33"/>
        <item x="19"/>
        <item x="39"/>
        <item x="2"/>
        <item t="default"/>
      </items>
    </pivotField>
    <pivotField dataField="1" showAll="0">
      <items count="45">
        <item x="41"/>
        <item x="37"/>
        <item x="29"/>
        <item x="35"/>
        <item x="30"/>
        <item x="42"/>
        <item x="28"/>
        <item x="38"/>
        <item x="25"/>
        <item x="6"/>
        <item x="14"/>
        <item x="16"/>
        <item x="27"/>
        <item x="19"/>
        <item x="22"/>
        <item x="12"/>
        <item x="31"/>
        <item x="15"/>
        <item x="3"/>
        <item x="7"/>
        <item x="1"/>
        <item x="32"/>
        <item x="5"/>
        <item x="21"/>
        <item x="9"/>
        <item x="24"/>
        <item x="17"/>
        <item x="26"/>
        <item x="0"/>
        <item x="34"/>
        <item x="18"/>
        <item x="13"/>
        <item x="4"/>
        <item x="11"/>
        <item x="23"/>
        <item x="8"/>
        <item x="36"/>
        <item x="39"/>
        <item x="10"/>
        <item x="33"/>
        <item x="20"/>
        <item x="43"/>
        <item x="4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Lead Date" fld="3" subtotal="count" baseField="0" baseItem="0"/>
    <dataField name="Count of Pre-Booking Date" fld="4" subtotal="count" baseField="0" baseItem="0"/>
    <dataField name="Count of Booking Date" fld="5" subtotal="count" baseField="0" baseItem="0"/>
    <dataField name="Count of Delivery Date" fld="6" subtotal="count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336286-B12D-4B94-A09E-6DC0A5E986B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ore Name" colHeaderCaption="Cancellation Status">
  <location ref="D57:J63" firstHeaderRow="1" firstDataRow="2" firstDataCol="1"/>
  <pivotFields count="20">
    <pivotField dataField="1" showAll="0"/>
    <pivotField axis="axisRow" showAll="0">
      <items count="5">
        <item x="0"/>
        <item x="3"/>
        <item x="1"/>
        <item x="2"/>
        <item t="default"/>
      </items>
    </pivotField>
    <pivotField showAll="0"/>
    <pivotField numFmtId="164" showAll="0"/>
    <pivotField showAll="0">
      <items count="37">
        <item x="29"/>
        <item x="33"/>
        <item x="26"/>
        <item x="6"/>
        <item x="13"/>
        <item x="15"/>
        <item x="30"/>
        <item x="27"/>
        <item x="21"/>
        <item x="17"/>
        <item x="20"/>
        <item x="19"/>
        <item x="1"/>
        <item x="14"/>
        <item x="24"/>
        <item x="7"/>
        <item x="3"/>
        <item x="22"/>
        <item x="5"/>
        <item x="16"/>
        <item x="31"/>
        <item x="18"/>
        <item x="9"/>
        <item x="0"/>
        <item x="25"/>
        <item x="12"/>
        <item x="28"/>
        <item x="23"/>
        <item x="11"/>
        <item x="4"/>
        <item x="10"/>
        <item x="34"/>
        <item x="35"/>
        <item x="8"/>
        <item x="32"/>
        <item x="2"/>
        <item t="default"/>
      </items>
    </pivotField>
    <pivotField showAll="0">
      <items count="41">
        <item x="35"/>
        <item x="34"/>
        <item x="32"/>
        <item x="29"/>
        <item x="36"/>
        <item x="5"/>
        <item x="37"/>
        <item x="13"/>
        <item x="30"/>
        <item x="14"/>
        <item x="21"/>
        <item x="23"/>
        <item x="17"/>
        <item x="20"/>
        <item x="25"/>
        <item x="11"/>
        <item x="1"/>
        <item x="6"/>
        <item x="3"/>
        <item x="24"/>
        <item x="16"/>
        <item x="28"/>
        <item x="27"/>
        <item x="26"/>
        <item x="18"/>
        <item x="8"/>
        <item x="0"/>
        <item x="15"/>
        <item x="31"/>
        <item x="12"/>
        <item x="10"/>
        <item x="22"/>
        <item x="4"/>
        <item x="7"/>
        <item x="9"/>
        <item x="38"/>
        <item x="33"/>
        <item x="19"/>
        <item x="39"/>
        <item x="2"/>
        <item t="default"/>
      </items>
    </pivotField>
    <pivotField showAll="0">
      <items count="45">
        <item x="41"/>
        <item x="37"/>
        <item x="29"/>
        <item x="35"/>
        <item x="30"/>
        <item x="42"/>
        <item x="28"/>
        <item x="38"/>
        <item x="25"/>
        <item x="6"/>
        <item x="14"/>
        <item x="16"/>
        <item x="27"/>
        <item x="19"/>
        <item x="22"/>
        <item x="12"/>
        <item x="31"/>
        <item x="15"/>
        <item x="3"/>
        <item x="7"/>
        <item x="1"/>
        <item x="32"/>
        <item x="5"/>
        <item x="21"/>
        <item x="9"/>
        <item x="24"/>
        <item x="17"/>
        <item x="26"/>
        <item x="0"/>
        <item x="34"/>
        <item x="18"/>
        <item x="13"/>
        <item x="4"/>
        <item x="11"/>
        <item x="23"/>
        <item x="8"/>
        <item x="36"/>
        <item x="39"/>
        <item x="10"/>
        <item x="33"/>
        <item x="20"/>
        <item x="43"/>
        <item x="40"/>
        <item x="2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7">
        <item x="3"/>
        <item x="4"/>
        <item x="2"/>
        <item x="1"/>
        <item x="5"/>
        <item h="1" x="0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Lead ID" fld="0" subtotal="count" baseField="0" baseItem="0"/>
  </dataFields>
  <formats count="25">
    <format dxfId="42">
      <pivotArea type="origin" dataOnly="0" labelOnly="1" outline="0" fieldPosition="0"/>
    </format>
    <format dxfId="41">
      <pivotArea field="1" type="button" dataOnly="0" labelOnly="1" outline="0" axis="axisRow" fieldPosition="0"/>
    </format>
    <format dxfId="40">
      <pivotArea outline="0" collapsedLevelsAreSubtotals="1" fieldPosition="0"/>
    </format>
    <format dxfId="39">
      <pivotArea dataOnly="0" labelOnly="1" fieldPosition="0">
        <references count="1">
          <reference field="1" count="0"/>
        </references>
      </pivotArea>
    </format>
    <format dxfId="38">
      <pivotArea dataOnly="0" labelOnly="1" grandRow="1" outline="0" fieldPosition="0"/>
    </format>
    <format dxfId="37">
      <pivotArea type="origin" dataOnly="0" labelOnly="1" outline="0" fieldPosition="0"/>
    </format>
    <format dxfId="36">
      <pivotArea field="8" type="button" dataOnly="0" labelOnly="1" outline="0" axis="axisCol" fieldPosition="0"/>
    </format>
    <format dxfId="35">
      <pivotArea type="topRight" dataOnly="0" labelOnly="1" outline="0" fieldPosition="0"/>
    </format>
    <format dxfId="34">
      <pivotArea field="1" type="button" dataOnly="0" labelOnly="1" outline="0" axis="axisRow" fieldPosition="0"/>
    </format>
    <format dxfId="33">
      <pivotArea dataOnly="0" labelOnly="1" fieldPosition="0">
        <references count="1">
          <reference field="8" count="0"/>
        </references>
      </pivotArea>
    </format>
    <format dxfId="32">
      <pivotArea dataOnly="0" labelOnly="1" grandCol="1" outline="0" fieldPosition="0"/>
    </format>
    <format dxfId="31">
      <pivotArea type="origin" dataOnly="0" labelOnly="1" outline="0" fieldPosition="0"/>
    </format>
    <format dxfId="30">
      <pivotArea field="1" type="button" dataOnly="0" labelOnly="1" outline="0" axis="axisRow" fieldPosition="0"/>
    </format>
    <format dxfId="29">
      <pivotArea field="8" type="button" dataOnly="0" labelOnly="1" outline="0" axis="axisCol" fieldPosition="0"/>
    </format>
    <format dxfId="28">
      <pivotArea dataOnly="0" labelOnly="1" fieldPosition="0">
        <references count="1">
          <reference field="8" count="1">
            <x v="0"/>
          </reference>
        </references>
      </pivotArea>
    </format>
    <format dxfId="27">
      <pivotArea type="topRight" dataOnly="0" labelOnly="1" outline="0" offset="A1" fieldPosition="0"/>
    </format>
    <format dxfId="26">
      <pivotArea dataOnly="0" labelOnly="1" fieldPosition="0">
        <references count="1">
          <reference field="8" count="1">
            <x v="1"/>
          </reference>
        </references>
      </pivotArea>
    </format>
    <format dxfId="25">
      <pivotArea type="topRight" dataOnly="0" labelOnly="1" outline="0" offset="B1" fieldPosition="0"/>
    </format>
    <format dxfId="24">
      <pivotArea dataOnly="0" labelOnly="1" fieldPosition="0">
        <references count="1">
          <reference field="8" count="1">
            <x v="2"/>
          </reference>
        </references>
      </pivotArea>
    </format>
    <format dxfId="23">
      <pivotArea type="topRight" dataOnly="0" labelOnly="1" outline="0" offset="C1:D1" fieldPosition="0"/>
    </format>
    <format dxfId="22">
      <pivotArea dataOnly="0" labelOnly="1" fieldPosition="0">
        <references count="1">
          <reference field="8" count="2">
            <x v="3"/>
            <x v="4"/>
          </reference>
        </references>
      </pivotArea>
    </format>
    <format dxfId="21">
      <pivotArea type="topRight" dataOnly="0" labelOnly="1" outline="0" offset="D1" fieldPosition="0"/>
    </format>
    <format dxfId="20">
      <pivotArea dataOnly="0" labelOnly="1" fieldPosition="0">
        <references count="1">
          <reference field="8" count="1">
            <x v="4"/>
          </reference>
        </references>
      </pivotArea>
    </format>
    <format dxfId="19">
      <pivotArea type="origin" dataOnly="0" labelOnly="1" outline="0" fieldPosition="0"/>
    </format>
    <format dxfId="18">
      <pivotArea field="8" type="button" dataOnly="0" labelOnly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zoomScaleNormal="100" workbookViewId="0">
      <selection activeCell="J2" sqref="J2"/>
    </sheetView>
  </sheetViews>
  <sheetFormatPr defaultColWidth="14.44140625" defaultRowHeight="15" customHeight="1" x14ac:dyDescent="0.3"/>
  <cols>
    <col min="1" max="1" width="11.77734375" customWidth="1"/>
    <col min="2" max="2" width="15.44140625" customWidth="1"/>
    <col min="3" max="3" width="11.77734375" customWidth="1"/>
    <col min="4" max="6" width="18.109375" customWidth="1"/>
    <col min="7" max="7" width="18.21875" customWidth="1"/>
    <col min="8" max="8" width="18.21875" style="24" customWidth="1"/>
    <col min="9" max="9" width="21.44140625" customWidth="1"/>
    <col min="10" max="10" width="23.109375" style="24" customWidth="1"/>
    <col min="11" max="11" width="25.44140625" customWidth="1"/>
    <col min="12" max="12" width="11.44140625" customWidth="1"/>
    <col min="13" max="13" width="12.6640625" customWidth="1"/>
    <col min="14" max="14" width="12.109375" customWidth="1"/>
    <col min="15" max="15" width="19.109375" customWidth="1"/>
    <col min="16" max="16" width="14.6640625" style="24" customWidth="1"/>
    <col min="17" max="18" width="8.6640625" customWidth="1"/>
    <col min="19" max="19" width="30.88671875" bestFit="1" customWidth="1"/>
    <col min="20" max="20" width="27.33203125" bestFit="1" customWidth="1"/>
    <col min="21" max="22" width="27.21875" bestFit="1" customWidth="1"/>
    <col min="23" max="27" width="8.664062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2" t="s">
        <v>1053</v>
      </c>
      <c r="I1" s="1" t="s">
        <v>7</v>
      </c>
      <c r="J1" s="22" t="s">
        <v>8</v>
      </c>
      <c r="K1" s="1" t="s">
        <v>9</v>
      </c>
      <c r="L1" s="1" t="s">
        <v>10</v>
      </c>
      <c r="M1" s="1" t="s">
        <v>11</v>
      </c>
      <c r="N1" s="29" t="s">
        <v>12</v>
      </c>
      <c r="O1" s="38" t="s">
        <v>13</v>
      </c>
      <c r="P1" s="30" t="s">
        <v>1060</v>
      </c>
    </row>
    <row r="2" spans="1:16" ht="14.25" customHeight="1" x14ac:dyDescent="0.3">
      <c r="A2" s="2" t="s">
        <v>14</v>
      </c>
      <c r="B2" s="2" t="s">
        <v>15</v>
      </c>
      <c r="C2" s="2" t="s">
        <v>16</v>
      </c>
      <c r="D2" s="3">
        <v>45951</v>
      </c>
      <c r="E2" s="3">
        <v>45955</v>
      </c>
      <c r="F2" s="3">
        <v>45959</v>
      </c>
      <c r="G2" s="3">
        <v>45964</v>
      </c>
      <c r="H2" s="23" t="str">
        <f>IF(G2="", "Not Delivered", "Delivered")</f>
        <v>Delivered</v>
      </c>
      <c r="I2" s="2" t="s">
        <v>17</v>
      </c>
      <c r="J2" s="24" t="s">
        <v>1054</v>
      </c>
      <c r="K2" s="3">
        <v>45989</v>
      </c>
      <c r="L2" s="2">
        <v>4</v>
      </c>
      <c r="M2" s="2">
        <v>4</v>
      </c>
      <c r="N2" s="2">
        <v>5</v>
      </c>
      <c r="O2" s="36">
        <v>2</v>
      </c>
      <c r="P2" s="24" t="str" cm="1">
        <f t="array" ref="P2">_xlfn.IFS(O2&lt;=6,"Detractors",AND(O2&gt;=7,O2&lt;=8),"Passives",AND(O2&gt;8,O2&lt;=10),"Promoters",O2="Not Available","NA")</f>
        <v>Detractors</v>
      </c>
    </row>
    <row r="3" spans="1:16" ht="14.25" customHeight="1" x14ac:dyDescent="0.3">
      <c r="A3" s="2" t="s">
        <v>18</v>
      </c>
      <c r="B3" s="2" t="s">
        <v>19</v>
      </c>
      <c r="C3" s="2" t="s">
        <v>16</v>
      </c>
      <c r="D3" s="3">
        <v>45941</v>
      </c>
      <c r="E3" s="3">
        <v>45944</v>
      </c>
      <c r="F3" s="3">
        <v>45949</v>
      </c>
      <c r="G3" s="3">
        <v>45956</v>
      </c>
      <c r="H3" s="23" t="str">
        <f t="shared" ref="H3:H66" si="0">IF(G3="", "Not Delivered", "Delivered")</f>
        <v>Delivered</v>
      </c>
      <c r="I3" s="2" t="s">
        <v>17</v>
      </c>
      <c r="J3" s="24" t="s">
        <v>1054</v>
      </c>
      <c r="K3" s="3">
        <v>45983</v>
      </c>
      <c r="L3" s="2">
        <v>3</v>
      </c>
      <c r="M3" s="2">
        <v>5</v>
      </c>
      <c r="N3" s="2">
        <v>7</v>
      </c>
      <c r="O3" s="36">
        <v>8</v>
      </c>
      <c r="P3" s="24" t="str" cm="1">
        <f t="array" ref="P3">_xlfn.IFS(O3&lt;=6,"Detractors",AND(O3&gt;=7,O3&lt;=8),"Passives",AND(O3&gt;8,O3&lt;=10),"Promoters",O3="Not Available","NA")</f>
        <v>Passives</v>
      </c>
    </row>
    <row r="4" spans="1:16" ht="14.25" customHeight="1" x14ac:dyDescent="0.3">
      <c r="A4" s="2" t="s">
        <v>20</v>
      </c>
      <c r="B4" s="2" t="s">
        <v>21</v>
      </c>
      <c r="C4" s="13" t="s">
        <v>22</v>
      </c>
      <c r="D4" s="3">
        <v>45931</v>
      </c>
      <c r="H4" s="23" t="str">
        <f t="shared" si="0"/>
        <v>Not Delivered</v>
      </c>
      <c r="I4" s="2" t="s">
        <v>23</v>
      </c>
      <c r="J4" s="2" t="s">
        <v>24</v>
      </c>
      <c r="L4">
        <v>0</v>
      </c>
      <c r="M4">
        <v>0</v>
      </c>
      <c r="N4">
        <v>0</v>
      </c>
      <c r="O4" t="s">
        <v>1080</v>
      </c>
      <c r="P4" s="24" t="str" cm="1">
        <f t="array" ref="P4">_xlfn.IFS(O4&lt;=6,"Detractors",AND(O4&gt;=7,O4&lt;=8),"Passives",AND(O4&gt;8,O4&lt;=10),"Promoters",O4="Not Available","NA")</f>
        <v>NA</v>
      </c>
    </row>
    <row r="5" spans="1:16" ht="14.25" customHeight="1" x14ac:dyDescent="0.3">
      <c r="A5" s="2" t="s">
        <v>25</v>
      </c>
      <c r="B5" s="2" t="s">
        <v>15</v>
      </c>
      <c r="C5" s="13" t="s">
        <v>22</v>
      </c>
      <c r="D5" s="3">
        <v>45958</v>
      </c>
      <c r="H5" s="23" t="str">
        <f t="shared" si="0"/>
        <v>Not Delivered</v>
      </c>
      <c r="I5" s="2" t="s">
        <v>23</v>
      </c>
      <c r="J5" s="2" t="s">
        <v>26</v>
      </c>
      <c r="L5">
        <v>0</v>
      </c>
      <c r="M5">
        <v>0</v>
      </c>
      <c r="N5">
        <v>0</v>
      </c>
      <c r="O5" t="s">
        <v>1080</v>
      </c>
      <c r="P5" s="24" t="str" cm="1">
        <f t="array" ref="P5">_xlfn.IFS(O5&lt;=6,"Detractors",AND(O5&gt;=7,O5&lt;=8),"Passives",AND(O5&gt;8,O5&lt;=10),"Promoters",O5="Not Available","NA")</f>
        <v>NA</v>
      </c>
    </row>
    <row r="6" spans="1:16" ht="14.25" customHeight="1" x14ac:dyDescent="0.3">
      <c r="A6" s="2" t="s">
        <v>27</v>
      </c>
      <c r="B6" s="2" t="s">
        <v>19</v>
      </c>
      <c r="C6" s="2" t="s">
        <v>16</v>
      </c>
      <c r="D6" s="3">
        <v>45944</v>
      </c>
      <c r="E6" s="3">
        <v>45948</v>
      </c>
      <c r="F6" s="3">
        <v>45951</v>
      </c>
      <c r="G6" s="3">
        <v>45954</v>
      </c>
      <c r="H6" s="23" t="str">
        <f t="shared" si="0"/>
        <v>Delivered</v>
      </c>
      <c r="I6" s="2" t="s">
        <v>17</v>
      </c>
      <c r="J6" s="24" t="s">
        <v>1054</v>
      </c>
      <c r="K6" s="3">
        <v>45973</v>
      </c>
      <c r="L6" s="2">
        <v>4</v>
      </c>
      <c r="M6" s="2">
        <v>3</v>
      </c>
      <c r="N6" s="2">
        <v>3</v>
      </c>
      <c r="O6" s="36">
        <v>8</v>
      </c>
      <c r="P6" s="24" t="str" cm="1">
        <f t="array" ref="P6">_xlfn.IFS(O6&lt;=6,"Detractors",AND(O6&gt;=7,O6&lt;=8),"Passives",AND(O6&gt;8,O6&lt;=10),"Promoters",O6="Not Available","NA")</f>
        <v>Passives</v>
      </c>
    </row>
    <row r="7" spans="1:16" ht="14.25" customHeight="1" x14ac:dyDescent="0.3">
      <c r="A7" s="2" t="s">
        <v>28</v>
      </c>
      <c r="B7" s="2" t="s">
        <v>19</v>
      </c>
      <c r="C7" s="2" t="s">
        <v>16</v>
      </c>
      <c r="D7" s="3">
        <v>45957</v>
      </c>
      <c r="E7" s="3">
        <v>45961</v>
      </c>
      <c r="F7" s="3">
        <v>45965</v>
      </c>
      <c r="G7" s="3">
        <v>45968</v>
      </c>
      <c r="H7" s="23" t="str">
        <f t="shared" si="0"/>
        <v>Delivered</v>
      </c>
      <c r="I7" s="2" t="s">
        <v>17</v>
      </c>
      <c r="J7" s="24" t="s">
        <v>1054</v>
      </c>
      <c r="K7" s="3">
        <v>45983</v>
      </c>
      <c r="L7" s="2">
        <v>4</v>
      </c>
      <c r="M7" s="2">
        <v>4</v>
      </c>
      <c r="N7" s="2">
        <v>3</v>
      </c>
      <c r="O7" s="36">
        <v>9</v>
      </c>
      <c r="P7" s="24" t="str" cm="1">
        <f t="array" ref="P7">_xlfn.IFS(O7&lt;=6,"Detractors",AND(O7&gt;=7,O7&lt;=8),"Passives",AND(O7&gt;8,O7&lt;=10),"Promoters",O7="Not Available","NA")</f>
        <v>Promoters</v>
      </c>
    </row>
    <row r="8" spans="1:16" ht="14.25" customHeight="1" x14ac:dyDescent="0.3">
      <c r="A8" s="42" t="s">
        <v>29</v>
      </c>
      <c r="B8" s="2" t="s">
        <v>21</v>
      </c>
      <c r="C8" s="2" t="s">
        <v>30</v>
      </c>
      <c r="D8" s="3">
        <v>45946</v>
      </c>
      <c r="E8" s="3">
        <v>45950</v>
      </c>
      <c r="F8" s="3">
        <v>45951</v>
      </c>
      <c r="G8" s="3">
        <v>45958</v>
      </c>
      <c r="H8" s="23" t="str">
        <f t="shared" si="0"/>
        <v>Delivered</v>
      </c>
      <c r="I8" s="2" t="s">
        <v>17</v>
      </c>
      <c r="J8" s="24" t="s">
        <v>1054</v>
      </c>
      <c r="K8" s="3">
        <v>45983</v>
      </c>
      <c r="L8" s="2">
        <v>4</v>
      </c>
      <c r="M8" s="2">
        <v>1</v>
      </c>
      <c r="N8" s="2">
        <v>7</v>
      </c>
      <c r="O8" s="36">
        <v>10</v>
      </c>
      <c r="P8" s="24" t="str" cm="1">
        <f t="array" ref="P8">_xlfn.IFS(O8&lt;=6,"Detractors",AND(O8&gt;=7,O8&lt;=8),"Passives",AND(O8&gt;8,O8&lt;=10),"Promoters",O8="Not Available","NA")</f>
        <v>Promoters</v>
      </c>
    </row>
    <row r="9" spans="1:16" ht="14.25" customHeight="1" x14ac:dyDescent="0.3">
      <c r="A9" s="2" t="s">
        <v>31</v>
      </c>
      <c r="B9" s="2" t="s">
        <v>32</v>
      </c>
      <c r="C9" s="2" t="s">
        <v>16</v>
      </c>
      <c r="D9" s="3">
        <v>45934</v>
      </c>
      <c r="E9" s="3">
        <v>45935</v>
      </c>
      <c r="F9" s="3">
        <v>45938</v>
      </c>
      <c r="G9" s="3">
        <v>45945</v>
      </c>
      <c r="H9" s="23" t="str">
        <f t="shared" si="0"/>
        <v>Delivered</v>
      </c>
      <c r="I9" s="2" t="s">
        <v>23</v>
      </c>
      <c r="J9" s="2" t="s">
        <v>33</v>
      </c>
      <c r="L9" s="2">
        <v>1</v>
      </c>
      <c r="M9" s="2">
        <v>3</v>
      </c>
      <c r="N9" s="2">
        <v>7</v>
      </c>
      <c r="O9" t="s">
        <v>1080</v>
      </c>
      <c r="P9" s="24" t="str" cm="1">
        <f t="array" ref="P9">_xlfn.IFS(O9&lt;=6,"Detractors",AND(O9&gt;=7,O9&lt;=8),"Passives",AND(O9&gt;8,O9&lt;=10),"Promoters",O9="Not Available","NA")</f>
        <v>NA</v>
      </c>
    </row>
    <row r="10" spans="1:16" ht="14.25" customHeight="1" x14ac:dyDescent="0.3">
      <c r="A10" s="42" t="s">
        <v>34</v>
      </c>
      <c r="B10" s="2" t="s">
        <v>15</v>
      </c>
      <c r="C10" s="2" t="s">
        <v>30</v>
      </c>
      <c r="D10" s="3">
        <v>45944</v>
      </c>
      <c r="E10" s="3">
        <v>45947</v>
      </c>
      <c r="F10" s="3">
        <v>45950</v>
      </c>
      <c r="G10" s="3">
        <v>45955</v>
      </c>
      <c r="H10" s="23" t="str">
        <f t="shared" si="0"/>
        <v>Delivered</v>
      </c>
      <c r="I10" s="2" t="s">
        <v>17</v>
      </c>
      <c r="J10" s="24" t="s">
        <v>1054</v>
      </c>
      <c r="K10" s="3">
        <v>45966</v>
      </c>
      <c r="L10" s="2">
        <v>3</v>
      </c>
      <c r="M10" s="2">
        <v>3</v>
      </c>
      <c r="N10" s="2">
        <v>5</v>
      </c>
      <c r="O10" s="36">
        <v>8</v>
      </c>
      <c r="P10" s="24" t="str" cm="1">
        <f t="array" ref="P10">_xlfn.IFS(O10&lt;=6,"Detractors",AND(O10&gt;=7,O10&lt;=8),"Passives",AND(O10&gt;8,O10&lt;=10),"Promoters",O10="Not Available","NA")</f>
        <v>Passives</v>
      </c>
    </row>
    <row r="11" spans="1:16" ht="14.25" customHeight="1" x14ac:dyDescent="0.3">
      <c r="A11" s="2" t="s">
        <v>35</v>
      </c>
      <c r="B11" s="2" t="s">
        <v>21</v>
      </c>
      <c r="C11" s="2" t="s">
        <v>16</v>
      </c>
      <c r="D11" s="3">
        <v>45961</v>
      </c>
      <c r="E11" s="3">
        <v>45965</v>
      </c>
      <c r="F11" s="3">
        <v>45966</v>
      </c>
      <c r="G11" s="3">
        <v>45971</v>
      </c>
      <c r="H11" s="23" t="str">
        <f t="shared" si="0"/>
        <v>Delivered</v>
      </c>
      <c r="I11" s="2" t="s">
        <v>17</v>
      </c>
      <c r="J11" s="24" t="s">
        <v>1054</v>
      </c>
      <c r="K11" s="3">
        <v>45983</v>
      </c>
      <c r="L11" s="2">
        <v>4</v>
      </c>
      <c r="M11" s="2">
        <v>1</v>
      </c>
      <c r="N11" s="2">
        <v>5</v>
      </c>
      <c r="O11" s="36">
        <v>6</v>
      </c>
      <c r="P11" s="24" t="str" cm="1">
        <f t="array" ref="P11">_xlfn.IFS(O11&lt;=6,"Detractors",AND(O11&gt;=7,O11&lt;=8),"Passives",AND(O11&gt;8,O11&lt;=10),"Promoters",O11="Not Available","NA")</f>
        <v>Detractors</v>
      </c>
    </row>
    <row r="12" spans="1:16" ht="14.25" customHeight="1" x14ac:dyDescent="0.3">
      <c r="A12" s="2" t="s">
        <v>36</v>
      </c>
      <c r="B12" s="2" t="s">
        <v>15</v>
      </c>
      <c r="C12" s="2" t="s">
        <v>22</v>
      </c>
      <c r="D12" s="3">
        <v>45942</v>
      </c>
      <c r="H12" s="23" t="str">
        <f t="shared" si="0"/>
        <v>Not Delivered</v>
      </c>
      <c r="I12" s="2" t="s">
        <v>23</v>
      </c>
      <c r="J12" s="2" t="s">
        <v>24</v>
      </c>
      <c r="L12">
        <v>0</v>
      </c>
      <c r="M12">
        <v>0</v>
      </c>
      <c r="N12">
        <v>0</v>
      </c>
      <c r="O12" t="s">
        <v>1080</v>
      </c>
      <c r="P12" s="24" t="str" cm="1">
        <f t="array" ref="P12">_xlfn.IFS(O12&lt;=6,"Detractors",AND(O12&gt;=7,O12&lt;=8),"Passives",AND(O12&gt;8,O12&lt;=10),"Promoters",O12="Not Available","NA")</f>
        <v>NA</v>
      </c>
    </row>
    <row r="13" spans="1:16" ht="14.25" customHeight="1" x14ac:dyDescent="0.3">
      <c r="A13" s="2" t="s">
        <v>37</v>
      </c>
      <c r="B13" s="2" t="s">
        <v>19</v>
      </c>
      <c r="C13" s="2" t="s">
        <v>16</v>
      </c>
      <c r="D13" s="3">
        <v>45951</v>
      </c>
      <c r="E13" s="3">
        <v>45954</v>
      </c>
      <c r="F13" s="3">
        <v>45958</v>
      </c>
      <c r="G13" s="3">
        <v>45960</v>
      </c>
      <c r="H13" s="23" t="str">
        <f t="shared" si="0"/>
        <v>Delivered</v>
      </c>
      <c r="I13" s="2" t="s">
        <v>17</v>
      </c>
      <c r="J13" s="24" t="s">
        <v>1054</v>
      </c>
      <c r="K13" s="3">
        <v>45971</v>
      </c>
      <c r="L13" s="2">
        <v>3</v>
      </c>
      <c r="M13" s="2">
        <v>4</v>
      </c>
      <c r="N13" s="2">
        <v>2</v>
      </c>
      <c r="O13" s="36">
        <v>0</v>
      </c>
      <c r="P13" s="24" t="str" cm="1">
        <f t="array" ref="P13">_xlfn.IFS(O13&lt;=6,"Detractors",AND(O13&gt;=7,O13&lt;=8),"Passives",AND(O13&gt;8,O13&lt;=10),"Promoters",O13="Not Available","NA")</f>
        <v>Detractors</v>
      </c>
    </row>
    <row r="14" spans="1:16" ht="14.25" customHeight="1" x14ac:dyDescent="0.3">
      <c r="A14" s="2" t="s">
        <v>38</v>
      </c>
      <c r="B14" s="2" t="s">
        <v>19</v>
      </c>
      <c r="C14" s="2" t="s">
        <v>16</v>
      </c>
      <c r="D14" s="3">
        <v>45959</v>
      </c>
      <c r="E14" s="3">
        <v>45962</v>
      </c>
      <c r="F14" s="3">
        <v>45967</v>
      </c>
      <c r="G14" s="3">
        <v>45974</v>
      </c>
      <c r="H14" s="23" t="str">
        <f t="shared" si="0"/>
        <v>Delivered</v>
      </c>
      <c r="I14" s="2" t="s">
        <v>17</v>
      </c>
      <c r="J14" s="24" t="s">
        <v>1054</v>
      </c>
      <c r="K14" s="3">
        <v>45991</v>
      </c>
      <c r="L14" s="2">
        <v>3</v>
      </c>
      <c r="M14" s="2">
        <v>5</v>
      </c>
      <c r="N14" s="2">
        <v>7</v>
      </c>
      <c r="O14" s="36">
        <v>10</v>
      </c>
      <c r="P14" s="24" t="str" cm="1">
        <f t="array" ref="P14">_xlfn.IFS(O14&lt;=6,"Detractors",AND(O14&gt;=7,O14&lt;=8),"Passives",AND(O14&gt;8,O14&lt;=10),"Promoters",O14="Not Available","NA")</f>
        <v>Promoters</v>
      </c>
    </row>
    <row r="15" spans="1:16" ht="14.25" customHeight="1" x14ac:dyDescent="0.3">
      <c r="A15" s="2" t="s">
        <v>39</v>
      </c>
      <c r="B15" s="2" t="s">
        <v>32</v>
      </c>
      <c r="C15" s="2" t="s">
        <v>16</v>
      </c>
      <c r="D15" s="3">
        <v>45957</v>
      </c>
      <c r="E15" s="3">
        <v>45960</v>
      </c>
      <c r="F15" s="3">
        <v>45963</v>
      </c>
      <c r="G15" s="3">
        <v>45969</v>
      </c>
      <c r="H15" s="23" t="str">
        <f t="shared" si="0"/>
        <v>Delivered</v>
      </c>
      <c r="I15" s="2" t="s">
        <v>17</v>
      </c>
      <c r="J15" s="24" t="s">
        <v>1054</v>
      </c>
      <c r="K15" s="3">
        <v>45998</v>
      </c>
      <c r="L15" s="2">
        <v>3</v>
      </c>
      <c r="M15" s="2">
        <v>3</v>
      </c>
      <c r="N15" s="2">
        <v>6</v>
      </c>
      <c r="O15" s="36">
        <v>2</v>
      </c>
      <c r="P15" s="24" t="str" cm="1">
        <f t="array" ref="P15">_xlfn.IFS(O15&lt;=6,"Detractors",AND(O15&gt;=7,O15&lt;=8),"Passives",AND(O15&gt;8,O15&lt;=10),"Promoters",O15="Not Available","NA")</f>
        <v>Detractors</v>
      </c>
    </row>
    <row r="16" spans="1:16" ht="14.25" customHeight="1" x14ac:dyDescent="0.3">
      <c r="A16" s="2" t="s">
        <v>40</v>
      </c>
      <c r="B16" s="2" t="s">
        <v>19</v>
      </c>
      <c r="C16" s="2" t="s">
        <v>30</v>
      </c>
      <c r="D16" s="3">
        <v>45945</v>
      </c>
      <c r="E16" s="3">
        <v>45947</v>
      </c>
      <c r="F16" s="3">
        <v>45948</v>
      </c>
      <c r="G16" s="3">
        <v>45951</v>
      </c>
      <c r="H16" s="23" t="str">
        <f t="shared" si="0"/>
        <v>Delivered</v>
      </c>
      <c r="I16" s="2" t="s">
        <v>23</v>
      </c>
      <c r="J16" s="2" t="s">
        <v>33</v>
      </c>
      <c r="L16" s="2">
        <v>2</v>
      </c>
      <c r="M16" s="2">
        <v>1</v>
      </c>
      <c r="N16" s="2">
        <v>3</v>
      </c>
      <c r="O16" t="s">
        <v>1080</v>
      </c>
      <c r="P16" s="24" t="str" cm="1">
        <f t="array" ref="P16">_xlfn.IFS(O16&lt;=6,"Detractors",AND(O16&gt;=7,O16&lt;=8),"Passives",AND(O16&gt;8,O16&lt;=10),"Promoters",O16="Not Available","NA")</f>
        <v>NA</v>
      </c>
    </row>
    <row r="17" spans="1:16" ht="14.25" customHeight="1" x14ac:dyDescent="0.3">
      <c r="A17" s="2" t="s">
        <v>41</v>
      </c>
      <c r="B17" s="2" t="s">
        <v>19</v>
      </c>
      <c r="C17" s="2" t="s">
        <v>16</v>
      </c>
      <c r="D17" s="3">
        <v>45953</v>
      </c>
      <c r="E17" s="3">
        <v>45957</v>
      </c>
      <c r="F17" s="3">
        <v>45962</v>
      </c>
      <c r="G17" s="3">
        <v>45967</v>
      </c>
      <c r="H17" s="23" t="str">
        <f t="shared" si="0"/>
        <v>Delivered</v>
      </c>
      <c r="I17" s="2" t="s">
        <v>17</v>
      </c>
      <c r="J17" s="24" t="s">
        <v>1054</v>
      </c>
      <c r="K17" s="3">
        <v>45984</v>
      </c>
      <c r="L17" s="2">
        <v>4</v>
      </c>
      <c r="M17" s="2">
        <v>5</v>
      </c>
      <c r="N17" s="2">
        <v>5</v>
      </c>
      <c r="O17" s="36">
        <v>8</v>
      </c>
      <c r="P17" s="24" t="str" cm="1">
        <f t="array" ref="P17">_xlfn.IFS(O17&lt;=6,"Detractors",AND(O17&gt;=7,O17&lt;=8),"Passives",AND(O17&gt;8,O17&lt;=10),"Promoters",O17="Not Available","NA")</f>
        <v>Passives</v>
      </c>
    </row>
    <row r="18" spans="1:16" ht="14.25" customHeight="1" x14ac:dyDescent="0.3">
      <c r="A18" s="42" t="s">
        <v>42</v>
      </c>
      <c r="B18" s="2" t="s">
        <v>21</v>
      </c>
      <c r="C18" s="2" t="s">
        <v>30</v>
      </c>
      <c r="D18" s="3">
        <v>45935</v>
      </c>
      <c r="E18" s="3">
        <v>45936</v>
      </c>
      <c r="F18" s="3">
        <v>45940</v>
      </c>
      <c r="G18" s="3">
        <v>45946</v>
      </c>
      <c r="H18" s="23" t="str">
        <f t="shared" si="0"/>
        <v>Delivered</v>
      </c>
      <c r="I18" s="2" t="s">
        <v>17</v>
      </c>
      <c r="J18" s="24" t="s">
        <v>1054</v>
      </c>
      <c r="K18" s="3">
        <v>45956</v>
      </c>
      <c r="L18" s="2">
        <v>1</v>
      </c>
      <c r="M18" s="2">
        <v>4</v>
      </c>
      <c r="N18" s="2">
        <v>6</v>
      </c>
      <c r="O18" s="36">
        <v>2</v>
      </c>
      <c r="P18" s="24" t="str" cm="1">
        <f t="array" ref="P18">_xlfn.IFS(O18&lt;=6,"Detractors",AND(O18&gt;=7,O18&lt;=8),"Passives",AND(O18&gt;8,O18&lt;=10),"Promoters",O18="Not Available","NA")</f>
        <v>Detractors</v>
      </c>
    </row>
    <row r="19" spans="1:16" ht="14.25" customHeight="1" x14ac:dyDescent="0.3">
      <c r="A19" s="42" t="s">
        <v>43</v>
      </c>
      <c r="B19" s="2" t="s">
        <v>15</v>
      </c>
      <c r="C19" s="2" t="s">
        <v>30</v>
      </c>
      <c r="D19" s="3">
        <v>45944</v>
      </c>
      <c r="E19" s="3">
        <v>45945</v>
      </c>
      <c r="F19" s="3">
        <v>45948</v>
      </c>
      <c r="G19" s="3">
        <v>45953</v>
      </c>
      <c r="H19" s="23" t="str">
        <f t="shared" si="0"/>
        <v>Delivered</v>
      </c>
      <c r="I19" s="2" t="s">
        <v>17</v>
      </c>
      <c r="J19" s="24" t="s">
        <v>1054</v>
      </c>
      <c r="K19" s="3">
        <v>45979</v>
      </c>
      <c r="L19" s="2">
        <v>1</v>
      </c>
      <c r="M19" s="2">
        <v>3</v>
      </c>
      <c r="N19" s="2">
        <v>5</v>
      </c>
      <c r="O19" s="36">
        <v>0</v>
      </c>
      <c r="P19" s="24" t="str" cm="1">
        <f t="array" ref="P19">_xlfn.IFS(O19&lt;=6,"Detractors",AND(O19&gt;=7,O19&lt;=8),"Passives",AND(O19&gt;8,O19&lt;=10),"Promoters",O19="Not Available","NA")</f>
        <v>Detractors</v>
      </c>
    </row>
    <row r="20" spans="1:16" ht="14.25" customHeight="1" x14ac:dyDescent="0.3">
      <c r="A20" s="2" t="s">
        <v>44</v>
      </c>
      <c r="B20" s="2" t="s">
        <v>15</v>
      </c>
      <c r="C20" s="2" t="s">
        <v>16</v>
      </c>
      <c r="D20" s="3">
        <v>45936</v>
      </c>
      <c r="E20" s="3">
        <v>45937</v>
      </c>
      <c r="F20" s="3">
        <v>45942</v>
      </c>
      <c r="G20" s="3">
        <v>45947</v>
      </c>
      <c r="H20" s="23" t="str">
        <f t="shared" si="0"/>
        <v>Delivered</v>
      </c>
      <c r="I20" s="2" t="s">
        <v>17</v>
      </c>
      <c r="J20" s="24" t="s">
        <v>1054</v>
      </c>
      <c r="K20" s="3">
        <v>45972</v>
      </c>
      <c r="L20" s="2">
        <v>1</v>
      </c>
      <c r="M20" s="2">
        <v>5</v>
      </c>
      <c r="N20" s="2">
        <v>5</v>
      </c>
      <c r="O20" s="36">
        <v>5</v>
      </c>
      <c r="P20" s="24" t="str" cm="1">
        <f t="array" ref="P20">_xlfn.IFS(O20&lt;=6,"Detractors",AND(O20&gt;=7,O20&lt;=8),"Passives",AND(O20&gt;8,O20&lt;=10),"Promoters",O20="Not Available","NA")</f>
        <v>Detractors</v>
      </c>
    </row>
    <row r="21" spans="1:16" ht="14.25" customHeight="1" x14ac:dyDescent="0.3">
      <c r="A21" s="2" t="s">
        <v>45</v>
      </c>
      <c r="B21" s="2" t="s">
        <v>21</v>
      </c>
      <c r="C21" s="2" t="s">
        <v>16</v>
      </c>
      <c r="D21" s="3">
        <v>45954</v>
      </c>
      <c r="E21" s="3">
        <v>45955</v>
      </c>
      <c r="F21" s="3">
        <v>45960</v>
      </c>
      <c r="G21" s="3">
        <v>45962</v>
      </c>
      <c r="H21" s="23" t="str">
        <f t="shared" si="0"/>
        <v>Delivered</v>
      </c>
      <c r="I21" s="2" t="s">
        <v>17</v>
      </c>
      <c r="J21" s="24" t="s">
        <v>1054</v>
      </c>
      <c r="K21" s="3">
        <v>45972</v>
      </c>
      <c r="L21" s="2">
        <v>1</v>
      </c>
      <c r="M21" s="2">
        <v>5</v>
      </c>
      <c r="N21" s="2">
        <v>2</v>
      </c>
      <c r="O21" s="36">
        <v>4</v>
      </c>
      <c r="P21" s="24" t="str" cm="1">
        <f t="array" ref="P21">_xlfn.IFS(O21&lt;=6,"Detractors",AND(O21&gt;=7,O21&lt;=8),"Passives",AND(O21&gt;8,O21&lt;=10),"Promoters",O21="Not Available","NA")</f>
        <v>Detractors</v>
      </c>
    </row>
    <row r="22" spans="1:16" ht="14.25" customHeight="1" x14ac:dyDescent="0.3">
      <c r="A22" s="2" t="s">
        <v>46</v>
      </c>
      <c r="B22" s="2" t="s">
        <v>32</v>
      </c>
      <c r="C22" s="2" t="s">
        <v>16</v>
      </c>
      <c r="D22" s="3">
        <v>45947</v>
      </c>
      <c r="E22" s="3">
        <v>45951</v>
      </c>
      <c r="F22" s="3">
        <v>45953</v>
      </c>
      <c r="G22" s="3">
        <v>45960</v>
      </c>
      <c r="H22" s="23" t="str">
        <f t="shared" si="0"/>
        <v>Delivered</v>
      </c>
      <c r="I22" s="2" t="s">
        <v>17</v>
      </c>
      <c r="J22" s="24" t="s">
        <v>1054</v>
      </c>
      <c r="K22" s="3">
        <v>45980</v>
      </c>
      <c r="L22" s="2">
        <v>4</v>
      </c>
      <c r="M22" s="2">
        <v>2</v>
      </c>
      <c r="N22" s="2">
        <v>7</v>
      </c>
      <c r="O22" s="36">
        <v>6</v>
      </c>
      <c r="P22" s="24" t="str" cm="1">
        <f t="array" ref="P22">_xlfn.IFS(O22&lt;=6,"Detractors",AND(O22&gt;=7,O22&lt;=8),"Passives",AND(O22&gt;8,O22&lt;=10),"Promoters",O22="Not Available","NA")</f>
        <v>Detractors</v>
      </c>
    </row>
    <row r="23" spans="1:16" ht="14.25" customHeight="1" x14ac:dyDescent="0.3">
      <c r="A23" s="42" t="s">
        <v>47</v>
      </c>
      <c r="B23" s="2" t="s">
        <v>15</v>
      </c>
      <c r="C23" s="2" t="s">
        <v>30</v>
      </c>
      <c r="D23" s="3">
        <v>45961</v>
      </c>
      <c r="E23" s="3">
        <v>45962</v>
      </c>
      <c r="F23" s="3">
        <v>45963</v>
      </c>
      <c r="G23" s="3">
        <v>45966</v>
      </c>
      <c r="H23" s="23" t="str">
        <f t="shared" si="0"/>
        <v>Delivered</v>
      </c>
      <c r="I23" s="2" t="s">
        <v>17</v>
      </c>
      <c r="J23" s="24" t="s">
        <v>1054</v>
      </c>
      <c r="K23" s="3">
        <v>45995</v>
      </c>
      <c r="L23" s="2">
        <v>1</v>
      </c>
      <c r="M23" s="2">
        <v>1</v>
      </c>
      <c r="N23" s="2">
        <v>3</v>
      </c>
      <c r="O23" s="36">
        <v>3</v>
      </c>
      <c r="P23" s="24" t="str" cm="1">
        <f t="array" ref="P23">_xlfn.IFS(O23&lt;=6,"Detractors",AND(O23&gt;=7,O23&lt;=8),"Passives",AND(O23&gt;8,O23&lt;=10),"Promoters",O23="Not Available","NA")</f>
        <v>Detractors</v>
      </c>
    </row>
    <row r="24" spans="1:16" ht="14.25" customHeight="1" x14ac:dyDescent="0.3">
      <c r="A24" s="2" t="s">
        <v>48</v>
      </c>
      <c r="B24" s="2" t="s">
        <v>19</v>
      </c>
      <c r="C24" s="2" t="s">
        <v>16</v>
      </c>
      <c r="D24" s="3">
        <v>45951</v>
      </c>
      <c r="E24" s="3">
        <v>45954</v>
      </c>
      <c r="F24" s="3">
        <v>45959</v>
      </c>
      <c r="G24" s="3">
        <v>45962</v>
      </c>
      <c r="H24" s="23" t="str">
        <f t="shared" si="0"/>
        <v>Delivered</v>
      </c>
      <c r="I24" s="2" t="s">
        <v>17</v>
      </c>
      <c r="J24" s="24" t="s">
        <v>1054</v>
      </c>
      <c r="K24" s="3">
        <v>45978</v>
      </c>
      <c r="L24" s="2">
        <v>3</v>
      </c>
      <c r="M24" s="2">
        <v>5</v>
      </c>
      <c r="N24" s="2">
        <v>3</v>
      </c>
      <c r="O24" s="36">
        <v>8</v>
      </c>
      <c r="P24" s="24" t="str" cm="1">
        <f t="array" ref="P24">_xlfn.IFS(O24&lt;=6,"Detractors",AND(O24&gt;=7,O24&lt;=8),"Passives",AND(O24&gt;8,O24&lt;=10),"Promoters",O24="Not Available","NA")</f>
        <v>Passives</v>
      </c>
    </row>
    <row r="25" spans="1:16" ht="14.25" customHeight="1" x14ac:dyDescent="0.3">
      <c r="A25" s="2" t="s">
        <v>49</v>
      </c>
      <c r="B25" s="2" t="s">
        <v>15</v>
      </c>
      <c r="C25" s="2" t="s">
        <v>16</v>
      </c>
      <c r="D25" s="3">
        <v>45939</v>
      </c>
      <c r="E25" s="3">
        <v>45941</v>
      </c>
      <c r="F25" s="3">
        <v>45945</v>
      </c>
      <c r="G25" s="3">
        <v>45949</v>
      </c>
      <c r="H25" s="23" t="str">
        <f t="shared" si="0"/>
        <v>Delivered</v>
      </c>
      <c r="I25" s="2" t="s">
        <v>17</v>
      </c>
      <c r="J25" s="24" t="s">
        <v>1054</v>
      </c>
      <c r="K25" s="3">
        <v>45963</v>
      </c>
      <c r="L25" s="2">
        <v>2</v>
      </c>
      <c r="M25" s="2">
        <v>4</v>
      </c>
      <c r="N25" s="2">
        <v>4</v>
      </c>
      <c r="O25" s="36">
        <v>3</v>
      </c>
      <c r="P25" s="24" t="str" cm="1">
        <f t="array" ref="P25">_xlfn.IFS(O25&lt;=6,"Detractors",AND(O25&gt;=7,O25&lt;=8),"Passives",AND(O25&gt;8,O25&lt;=10),"Promoters",O25="Not Available","NA")</f>
        <v>Detractors</v>
      </c>
    </row>
    <row r="26" spans="1:16" ht="14.25" customHeight="1" x14ac:dyDescent="0.3">
      <c r="A26" s="2" t="s">
        <v>50</v>
      </c>
      <c r="B26" s="2" t="s">
        <v>19</v>
      </c>
      <c r="C26" s="2" t="s">
        <v>16</v>
      </c>
      <c r="D26" s="3">
        <v>45950</v>
      </c>
      <c r="E26" s="3">
        <v>45955</v>
      </c>
      <c r="F26" s="3">
        <v>45957</v>
      </c>
      <c r="G26" s="3">
        <v>45964</v>
      </c>
      <c r="H26" s="23" t="str">
        <f t="shared" si="0"/>
        <v>Delivered</v>
      </c>
      <c r="I26" s="2" t="s">
        <v>17</v>
      </c>
      <c r="J26" s="24" t="s">
        <v>1054</v>
      </c>
      <c r="K26" s="3">
        <v>45984</v>
      </c>
      <c r="L26" s="2">
        <v>5</v>
      </c>
      <c r="M26" s="2">
        <v>2</v>
      </c>
      <c r="N26" s="2">
        <v>7</v>
      </c>
      <c r="O26" s="36">
        <v>1</v>
      </c>
      <c r="P26" s="24" t="str" cm="1">
        <f t="array" ref="P26">_xlfn.IFS(O26&lt;=6,"Detractors",AND(O26&gt;=7,O26&lt;=8),"Passives",AND(O26&gt;8,O26&lt;=10),"Promoters",O26="Not Available","NA")</f>
        <v>Detractors</v>
      </c>
    </row>
    <row r="27" spans="1:16" ht="14.25" customHeight="1" x14ac:dyDescent="0.3">
      <c r="A27" s="2" t="s">
        <v>51</v>
      </c>
      <c r="B27" s="2" t="s">
        <v>32</v>
      </c>
      <c r="C27" s="2" t="s">
        <v>16</v>
      </c>
      <c r="D27" s="3">
        <v>45956</v>
      </c>
      <c r="E27" s="3">
        <v>45957</v>
      </c>
      <c r="F27" s="3">
        <v>45962</v>
      </c>
      <c r="G27" s="3">
        <v>45964</v>
      </c>
      <c r="H27" s="23" t="str">
        <f t="shared" si="0"/>
        <v>Delivered</v>
      </c>
      <c r="I27" s="2" t="s">
        <v>17</v>
      </c>
      <c r="J27" s="24" t="s">
        <v>1054</v>
      </c>
      <c r="K27" s="3">
        <v>45979</v>
      </c>
      <c r="L27" s="2">
        <v>1</v>
      </c>
      <c r="M27" s="2">
        <v>5</v>
      </c>
      <c r="N27" s="2">
        <v>2</v>
      </c>
      <c r="O27" s="36">
        <v>4</v>
      </c>
      <c r="P27" s="24" t="str" cm="1">
        <f t="array" ref="P27">_xlfn.IFS(O27&lt;=6,"Detractors",AND(O27&gt;=7,O27&lt;=8),"Passives",AND(O27&gt;8,O27&lt;=10),"Promoters",O27="Not Available","NA")</f>
        <v>Detractors</v>
      </c>
    </row>
    <row r="28" spans="1:16" ht="14.25" customHeight="1" x14ac:dyDescent="0.3">
      <c r="A28" s="2" t="s">
        <v>52</v>
      </c>
      <c r="B28" s="2" t="s">
        <v>21</v>
      </c>
      <c r="C28" s="2" t="s">
        <v>16</v>
      </c>
      <c r="D28" s="3">
        <v>45960</v>
      </c>
      <c r="E28" s="3">
        <v>45965</v>
      </c>
      <c r="F28" s="3">
        <v>45970</v>
      </c>
      <c r="G28" s="3">
        <v>45976</v>
      </c>
      <c r="H28" s="23" t="str">
        <f t="shared" si="0"/>
        <v>Delivered</v>
      </c>
      <c r="I28" s="2" t="s">
        <v>17</v>
      </c>
      <c r="J28" s="24" t="s">
        <v>1054</v>
      </c>
      <c r="K28" s="3">
        <v>45996</v>
      </c>
      <c r="L28" s="2">
        <v>5</v>
      </c>
      <c r="M28" s="2">
        <v>5</v>
      </c>
      <c r="N28" s="2">
        <v>6</v>
      </c>
      <c r="O28" s="36">
        <v>1</v>
      </c>
      <c r="P28" s="24" t="str" cm="1">
        <f t="array" ref="P28">_xlfn.IFS(O28&lt;=6,"Detractors",AND(O28&gt;=7,O28&lt;=8),"Passives",AND(O28&gt;8,O28&lt;=10),"Promoters",O28="Not Available","NA")</f>
        <v>Detractors</v>
      </c>
    </row>
    <row r="29" spans="1:16" ht="14.25" customHeight="1" x14ac:dyDescent="0.3">
      <c r="A29" s="2" t="s">
        <v>53</v>
      </c>
      <c r="B29" s="2" t="s">
        <v>15</v>
      </c>
      <c r="C29" s="2" t="s">
        <v>16</v>
      </c>
      <c r="D29" s="3">
        <v>45948</v>
      </c>
      <c r="E29" s="3">
        <v>45953</v>
      </c>
      <c r="F29" s="3">
        <v>45957</v>
      </c>
      <c r="G29" s="3">
        <v>45959</v>
      </c>
      <c r="H29" s="23" t="str">
        <f t="shared" si="0"/>
        <v>Delivered</v>
      </c>
      <c r="I29" s="2" t="s">
        <v>17</v>
      </c>
      <c r="J29" s="24" t="s">
        <v>1054</v>
      </c>
      <c r="K29" s="3">
        <v>45970</v>
      </c>
      <c r="L29" s="2">
        <v>5</v>
      </c>
      <c r="M29" s="2">
        <v>4</v>
      </c>
      <c r="N29" s="2">
        <v>2</v>
      </c>
      <c r="O29" s="36">
        <v>3</v>
      </c>
      <c r="P29" s="24" t="str" cm="1">
        <f t="array" ref="P29">_xlfn.IFS(O29&lt;=6,"Detractors",AND(O29&gt;=7,O29&lt;=8),"Passives",AND(O29&gt;8,O29&lt;=10),"Promoters",O29="Not Available","NA")</f>
        <v>Detractors</v>
      </c>
    </row>
    <row r="30" spans="1:16" ht="14.25" customHeight="1" x14ac:dyDescent="0.3">
      <c r="A30" s="2" t="s">
        <v>54</v>
      </c>
      <c r="B30" s="2" t="s">
        <v>21</v>
      </c>
      <c r="C30" s="2" t="s">
        <v>16</v>
      </c>
      <c r="D30" s="3">
        <v>45955</v>
      </c>
      <c r="E30" s="3">
        <v>45960</v>
      </c>
      <c r="F30" s="3">
        <v>45962</v>
      </c>
      <c r="G30" s="3">
        <v>45968</v>
      </c>
      <c r="H30" s="23" t="str">
        <f t="shared" si="0"/>
        <v>Delivered</v>
      </c>
      <c r="I30" s="2" t="s">
        <v>17</v>
      </c>
      <c r="J30" s="24" t="s">
        <v>1054</v>
      </c>
      <c r="K30" s="3">
        <v>45978</v>
      </c>
      <c r="L30" s="2">
        <v>5</v>
      </c>
      <c r="M30" s="2">
        <v>2</v>
      </c>
      <c r="N30" s="2">
        <v>6</v>
      </c>
      <c r="O30" s="36">
        <v>3</v>
      </c>
      <c r="P30" s="24" t="str" cm="1">
        <f t="array" ref="P30">_xlfn.IFS(O30&lt;=6,"Detractors",AND(O30&gt;=7,O30&lt;=8),"Passives",AND(O30&gt;8,O30&lt;=10),"Promoters",O30="Not Available","NA")</f>
        <v>Detractors</v>
      </c>
    </row>
    <row r="31" spans="1:16" ht="14.25" customHeight="1" x14ac:dyDescent="0.3">
      <c r="A31" s="2" t="s">
        <v>55</v>
      </c>
      <c r="B31" s="2" t="s">
        <v>15</v>
      </c>
      <c r="C31" s="2" t="s">
        <v>22</v>
      </c>
      <c r="D31" s="3">
        <v>45946</v>
      </c>
      <c r="H31" s="23" t="str">
        <f t="shared" si="0"/>
        <v>Not Delivered</v>
      </c>
      <c r="I31" s="2" t="s">
        <v>23</v>
      </c>
      <c r="J31" s="2" t="s">
        <v>33</v>
      </c>
      <c r="L31">
        <v>0</v>
      </c>
      <c r="M31">
        <v>0</v>
      </c>
      <c r="N31">
        <v>0</v>
      </c>
      <c r="O31" t="s">
        <v>1080</v>
      </c>
      <c r="P31" s="24" t="str" cm="1">
        <f t="array" ref="P31">_xlfn.IFS(O31&lt;=6,"Detractors",AND(O31&gt;=7,O31&lt;=8),"Passives",AND(O31&gt;8,O31&lt;=10),"Promoters",O31="Not Available","NA")</f>
        <v>NA</v>
      </c>
    </row>
    <row r="32" spans="1:16" ht="14.25" customHeight="1" x14ac:dyDescent="0.3">
      <c r="A32" s="2" t="s">
        <v>56</v>
      </c>
      <c r="B32" s="2" t="s">
        <v>19</v>
      </c>
      <c r="C32" s="2" t="s">
        <v>16</v>
      </c>
      <c r="D32" s="3">
        <v>45945</v>
      </c>
      <c r="E32" s="3">
        <v>45948</v>
      </c>
      <c r="F32" s="3">
        <v>45950</v>
      </c>
      <c r="G32" s="3">
        <v>45953</v>
      </c>
      <c r="H32" s="23" t="str">
        <f t="shared" si="0"/>
        <v>Delivered</v>
      </c>
      <c r="I32" s="2" t="s">
        <v>17</v>
      </c>
      <c r="J32" s="24" t="s">
        <v>1054</v>
      </c>
      <c r="K32" s="3">
        <v>45967</v>
      </c>
      <c r="L32" s="2">
        <v>3</v>
      </c>
      <c r="M32" s="2">
        <v>2</v>
      </c>
      <c r="N32" s="2">
        <v>3</v>
      </c>
      <c r="O32" s="36">
        <v>3</v>
      </c>
      <c r="P32" s="24" t="str" cm="1">
        <f t="array" ref="P32">_xlfn.IFS(O32&lt;=6,"Detractors",AND(O32&gt;=7,O32&lt;=8),"Passives",AND(O32&gt;8,O32&lt;=10),"Promoters",O32="Not Available","NA")</f>
        <v>Detractors</v>
      </c>
    </row>
    <row r="33" spans="1:16" ht="14.25" customHeight="1" x14ac:dyDescent="0.3">
      <c r="A33" s="2" t="s">
        <v>57</v>
      </c>
      <c r="B33" s="2" t="s">
        <v>21</v>
      </c>
      <c r="C33" s="2" t="s">
        <v>16</v>
      </c>
      <c r="D33" s="3">
        <v>45944</v>
      </c>
      <c r="E33" s="3">
        <v>45945</v>
      </c>
      <c r="F33" s="3">
        <v>45946</v>
      </c>
      <c r="G33" s="3">
        <v>45950</v>
      </c>
      <c r="H33" s="23" t="str">
        <f t="shared" si="0"/>
        <v>Delivered</v>
      </c>
      <c r="I33" s="2" t="s">
        <v>17</v>
      </c>
      <c r="J33" s="24" t="s">
        <v>1054</v>
      </c>
      <c r="K33" s="3">
        <v>45978</v>
      </c>
      <c r="L33" s="2">
        <v>1</v>
      </c>
      <c r="M33" s="2">
        <v>1</v>
      </c>
      <c r="N33" s="2">
        <v>4</v>
      </c>
      <c r="O33" s="36">
        <v>5</v>
      </c>
      <c r="P33" s="24" t="str" cm="1">
        <f t="array" ref="P33">_xlfn.IFS(O33&lt;=6,"Detractors",AND(O33&gt;=7,O33&lt;=8),"Passives",AND(O33&gt;8,O33&lt;=10),"Promoters",O33="Not Available","NA")</f>
        <v>Detractors</v>
      </c>
    </row>
    <row r="34" spans="1:16" ht="14.25" customHeight="1" x14ac:dyDescent="0.3">
      <c r="A34" s="2" t="s">
        <v>58</v>
      </c>
      <c r="B34" s="2" t="s">
        <v>15</v>
      </c>
      <c r="C34" s="2" t="s">
        <v>16</v>
      </c>
      <c r="D34" s="3">
        <v>45957</v>
      </c>
      <c r="E34" s="3">
        <v>45961</v>
      </c>
      <c r="F34" s="3">
        <v>45966</v>
      </c>
      <c r="G34" s="3">
        <v>45970</v>
      </c>
      <c r="H34" s="23" t="str">
        <f t="shared" si="0"/>
        <v>Delivered</v>
      </c>
      <c r="I34" s="2" t="s">
        <v>17</v>
      </c>
      <c r="J34" s="24" t="s">
        <v>1054</v>
      </c>
      <c r="K34" s="3">
        <v>45984</v>
      </c>
      <c r="L34" s="2">
        <v>4</v>
      </c>
      <c r="M34" s="2">
        <v>5</v>
      </c>
      <c r="N34" s="2">
        <v>4</v>
      </c>
      <c r="O34" s="36">
        <v>3</v>
      </c>
      <c r="P34" s="24" t="str" cm="1">
        <f t="array" ref="P34">_xlfn.IFS(O34&lt;=6,"Detractors",AND(O34&gt;=7,O34&lt;=8),"Passives",AND(O34&gt;8,O34&lt;=10),"Promoters",O34="Not Available","NA")</f>
        <v>Detractors</v>
      </c>
    </row>
    <row r="35" spans="1:16" ht="14.25" customHeight="1" x14ac:dyDescent="0.3">
      <c r="A35" s="2" t="s">
        <v>59</v>
      </c>
      <c r="B35" s="2" t="s">
        <v>19</v>
      </c>
      <c r="C35" s="2" t="s">
        <v>16</v>
      </c>
      <c r="D35" s="3">
        <v>45954</v>
      </c>
      <c r="E35" s="3">
        <v>45957</v>
      </c>
      <c r="F35" s="3">
        <v>45958</v>
      </c>
      <c r="G35" s="3">
        <v>45961</v>
      </c>
      <c r="H35" s="23" t="str">
        <f t="shared" si="0"/>
        <v>Delivered</v>
      </c>
      <c r="I35" s="2" t="s">
        <v>17</v>
      </c>
      <c r="J35" s="24" t="s">
        <v>1054</v>
      </c>
      <c r="K35" s="3">
        <v>45974</v>
      </c>
      <c r="L35" s="2">
        <v>3</v>
      </c>
      <c r="M35" s="2">
        <v>1</v>
      </c>
      <c r="N35" s="2">
        <v>3</v>
      </c>
      <c r="O35" s="36">
        <v>3</v>
      </c>
      <c r="P35" s="24" t="str" cm="1">
        <f t="array" ref="P35">_xlfn.IFS(O35&lt;=6,"Detractors",AND(O35&gt;=7,O35&lt;=8),"Passives",AND(O35&gt;8,O35&lt;=10),"Promoters",O35="Not Available","NA")</f>
        <v>Detractors</v>
      </c>
    </row>
    <row r="36" spans="1:16" ht="14.25" customHeight="1" x14ac:dyDescent="0.3">
      <c r="A36" s="2" t="s">
        <v>60</v>
      </c>
      <c r="B36" s="2" t="s">
        <v>21</v>
      </c>
      <c r="C36" s="2" t="s">
        <v>22</v>
      </c>
      <c r="D36" s="3">
        <v>45949</v>
      </c>
      <c r="H36" s="23" t="str">
        <f t="shared" si="0"/>
        <v>Not Delivered</v>
      </c>
      <c r="I36" s="2" t="s">
        <v>23</v>
      </c>
      <c r="J36" s="2" t="s">
        <v>26</v>
      </c>
      <c r="L36">
        <v>0</v>
      </c>
      <c r="M36">
        <v>0</v>
      </c>
      <c r="N36">
        <v>0</v>
      </c>
      <c r="O36" t="s">
        <v>1080</v>
      </c>
      <c r="P36" s="24" t="str" cm="1">
        <f t="array" ref="P36">_xlfn.IFS(O36&lt;=6,"Detractors",AND(O36&gt;=7,O36&lt;=8),"Passives",AND(O36&gt;8,O36&lt;=10),"Promoters",O36="Not Available","NA")</f>
        <v>NA</v>
      </c>
    </row>
    <row r="37" spans="1:16" ht="14.25" customHeight="1" x14ac:dyDescent="0.3">
      <c r="A37" s="2" t="s">
        <v>61</v>
      </c>
      <c r="B37" s="2" t="s">
        <v>21</v>
      </c>
      <c r="C37" s="2" t="s">
        <v>16</v>
      </c>
      <c r="D37" s="3">
        <v>45939</v>
      </c>
      <c r="E37" s="3">
        <v>45943</v>
      </c>
      <c r="F37" s="3">
        <v>45945</v>
      </c>
      <c r="G37" s="3">
        <v>45950</v>
      </c>
      <c r="H37" s="23" t="str">
        <f t="shared" si="0"/>
        <v>Delivered</v>
      </c>
      <c r="I37" s="2" t="s">
        <v>17</v>
      </c>
      <c r="J37" s="24" t="s">
        <v>1054</v>
      </c>
      <c r="K37" s="3">
        <v>45976</v>
      </c>
      <c r="L37" s="2">
        <v>4</v>
      </c>
      <c r="M37" s="2">
        <v>2</v>
      </c>
      <c r="N37" s="2">
        <v>5</v>
      </c>
      <c r="O37" s="36">
        <v>9</v>
      </c>
      <c r="P37" s="24" t="str" cm="1">
        <f t="array" ref="P37">_xlfn.IFS(O37&lt;=6,"Detractors",AND(O37&gt;=7,O37&lt;=8),"Passives",AND(O37&gt;8,O37&lt;=10),"Promoters",O37="Not Available","NA")</f>
        <v>Promoters</v>
      </c>
    </row>
    <row r="38" spans="1:16" ht="14.25" customHeight="1" x14ac:dyDescent="0.3">
      <c r="A38" s="2" t="s">
        <v>62</v>
      </c>
      <c r="B38" s="2" t="s">
        <v>15</v>
      </c>
      <c r="C38" s="2" t="s">
        <v>16</v>
      </c>
      <c r="D38" s="3">
        <v>45941</v>
      </c>
      <c r="E38" s="3">
        <v>45942</v>
      </c>
      <c r="F38" s="3">
        <v>45943</v>
      </c>
      <c r="G38" s="3">
        <v>45945</v>
      </c>
      <c r="H38" s="23" t="str">
        <f t="shared" si="0"/>
        <v>Delivered</v>
      </c>
      <c r="I38" s="2" t="s">
        <v>23</v>
      </c>
      <c r="J38" s="2" t="s">
        <v>63</v>
      </c>
      <c r="L38" s="2">
        <v>1</v>
      </c>
      <c r="M38" s="2">
        <v>1</v>
      </c>
      <c r="N38" s="2">
        <v>2</v>
      </c>
      <c r="O38" t="s">
        <v>1080</v>
      </c>
      <c r="P38" s="24" t="str" cm="1">
        <f t="array" ref="P38">_xlfn.IFS(O38&lt;=6,"Detractors",AND(O38&gt;=7,O38&lt;=8),"Passives",AND(O38&gt;8,O38&lt;=10),"Promoters",O38="Not Available","NA")</f>
        <v>NA</v>
      </c>
    </row>
    <row r="39" spans="1:16" ht="14.25" customHeight="1" x14ac:dyDescent="0.3">
      <c r="A39" s="2" t="s">
        <v>64</v>
      </c>
      <c r="B39" s="2" t="s">
        <v>15</v>
      </c>
      <c r="C39" s="2" t="s">
        <v>16</v>
      </c>
      <c r="D39" s="3">
        <v>45958</v>
      </c>
      <c r="E39" s="3">
        <v>45961</v>
      </c>
      <c r="F39" s="3">
        <v>45965</v>
      </c>
      <c r="G39" s="3">
        <v>45969</v>
      </c>
      <c r="H39" s="23" t="str">
        <f t="shared" si="0"/>
        <v>Delivered</v>
      </c>
      <c r="I39" s="2" t="s">
        <v>17</v>
      </c>
      <c r="J39" s="24" t="s">
        <v>1054</v>
      </c>
      <c r="K39" s="3">
        <v>45990</v>
      </c>
      <c r="L39" s="2">
        <v>3</v>
      </c>
      <c r="M39" s="2">
        <v>4</v>
      </c>
      <c r="N39" s="2">
        <v>4</v>
      </c>
      <c r="O39" s="36">
        <v>2</v>
      </c>
      <c r="P39" s="24" t="str" cm="1">
        <f t="array" ref="P39">_xlfn.IFS(O39&lt;=6,"Detractors",AND(O39&gt;=7,O39&lt;=8),"Passives",AND(O39&gt;8,O39&lt;=10),"Promoters",O39="Not Available","NA")</f>
        <v>Detractors</v>
      </c>
    </row>
    <row r="40" spans="1:16" ht="14.25" customHeight="1" x14ac:dyDescent="0.3">
      <c r="A40" s="2" t="s">
        <v>65</v>
      </c>
      <c r="B40" s="2" t="s">
        <v>15</v>
      </c>
      <c r="C40" s="2" t="s">
        <v>16</v>
      </c>
      <c r="D40" s="3">
        <v>45938</v>
      </c>
      <c r="E40" s="3">
        <v>45943</v>
      </c>
      <c r="F40" s="3">
        <v>45946</v>
      </c>
      <c r="G40" s="3">
        <v>45953</v>
      </c>
      <c r="H40" s="23" t="str">
        <f t="shared" si="0"/>
        <v>Delivered</v>
      </c>
      <c r="I40" s="2" t="s">
        <v>17</v>
      </c>
      <c r="J40" s="24" t="s">
        <v>1054</v>
      </c>
      <c r="K40" s="3">
        <v>45965</v>
      </c>
      <c r="L40" s="2">
        <v>5</v>
      </c>
      <c r="M40" s="2">
        <v>3</v>
      </c>
      <c r="N40" s="2">
        <v>7</v>
      </c>
      <c r="O40" s="36">
        <v>9</v>
      </c>
      <c r="P40" s="24" t="str" cm="1">
        <f t="array" ref="P40">_xlfn.IFS(O40&lt;=6,"Detractors",AND(O40&gt;=7,O40&lt;=8),"Passives",AND(O40&gt;8,O40&lt;=10),"Promoters",O40="Not Available","NA")</f>
        <v>Promoters</v>
      </c>
    </row>
    <row r="41" spans="1:16" ht="14.25" customHeight="1" x14ac:dyDescent="0.3">
      <c r="A41" s="2" t="s">
        <v>66</v>
      </c>
      <c r="B41" s="2" t="s">
        <v>19</v>
      </c>
      <c r="C41" s="2" t="s">
        <v>16</v>
      </c>
      <c r="D41" s="3">
        <v>45957</v>
      </c>
      <c r="E41" s="3">
        <v>45960</v>
      </c>
      <c r="F41" s="3">
        <v>45964</v>
      </c>
      <c r="G41" s="3">
        <v>45969</v>
      </c>
      <c r="H41" s="23" t="str">
        <f t="shared" si="0"/>
        <v>Delivered</v>
      </c>
      <c r="I41" s="2" t="s">
        <v>23</v>
      </c>
      <c r="J41" s="2" t="s">
        <v>24</v>
      </c>
      <c r="L41" s="2">
        <v>3</v>
      </c>
      <c r="M41" s="2">
        <v>4</v>
      </c>
      <c r="N41" s="2">
        <v>5</v>
      </c>
      <c r="O41" t="s">
        <v>1080</v>
      </c>
      <c r="P41" s="24" t="str" cm="1">
        <f t="array" ref="P41">_xlfn.IFS(O41&lt;=6,"Detractors",AND(O41&gt;=7,O41&lt;=8),"Passives",AND(O41&gt;8,O41&lt;=10),"Promoters",O41="Not Available","NA")</f>
        <v>NA</v>
      </c>
    </row>
    <row r="42" spans="1:16" ht="14.25" customHeight="1" x14ac:dyDescent="0.3">
      <c r="A42" s="2" t="s">
        <v>67</v>
      </c>
      <c r="B42" s="2" t="s">
        <v>15</v>
      </c>
      <c r="C42" s="2" t="s">
        <v>22</v>
      </c>
      <c r="D42" s="3">
        <v>45960</v>
      </c>
      <c r="H42" s="23" t="str">
        <f t="shared" si="0"/>
        <v>Not Delivered</v>
      </c>
      <c r="I42" s="2" t="s">
        <v>23</v>
      </c>
      <c r="J42" s="2" t="s">
        <v>26</v>
      </c>
      <c r="L42">
        <v>0</v>
      </c>
      <c r="M42">
        <v>0</v>
      </c>
      <c r="N42">
        <v>0</v>
      </c>
      <c r="O42" t="s">
        <v>1080</v>
      </c>
      <c r="P42" s="24" t="str" cm="1">
        <f t="array" ref="P42">_xlfn.IFS(O42&lt;=6,"Detractors",AND(O42&gt;=7,O42&lt;=8),"Passives",AND(O42&gt;8,O42&lt;=10),"Promoters",O42="Not Available","NA")</f>
        <v>NA</v>
      </c>
    </row>
    <row r="43" spans="1:16" ht="14.25" customHeight="1" x14ac:dyDescent="0.3">
      <c r="A43" s="2" t="s">
        <v>68</v>
      </c>
      <c r="B43" s="2" t="s">
        <v>21</v>
      </c>
      <c r="C43" s="2" t="s">
        <v>16</v>
      </c>
      <c r="D43" s="3">
        <v>45933</v>
      </c>
      <c r="E43" s="3">
        <v>45936</v>
      </c>
      <c r="F43" s="3">
        <v>45938</v>
      </c>
      <c r="G43" s="3">
        <v>45944</v>
      </c>
      <c r="H43" s="23" t="str">
        <f t="shared" si="0"/>
        <v>Delivered</v>
      </c>
      <c r="I43" s="2" t="s">
        <v>17</v>
      </c>
      <c r="J43" s="24" t="s">
        <v>1054</v>
      </c>
      <c r="K43" s="3">
        <v>45965</v>
      </c>
      <c r="L43" s="2">
        <v>3</v>
      </c>
      <c r="M43" s="2">
        <v>2</v>
      </c>
      <c r="N43" s="2">
        <v>6</v>
      </c>
      <c r="O43" s="36">
        <v>6</v>
      </c>
      <c r="P43" s="24" t="str" cm="1">
        <f t="array" ref="P43">_xlfn.IFS(O43&lt;=6,"Detractors",AND(O43&gt;=7,O43&lt;=8),"Passives",AND(O43&gt;8,O43&lt;=10),"Promoters",O43="Not Available","NA")</f>
        <v>Detractors</v>
      </c>
    </row>
    <row r="44" spans="1:16" ht="14.25" customHeight="1" x14ac:dyDescent="0.3">
      <c r="A44" s="2" t="s">
        <v>69</v>
      </c>
      <c r="B44" s="2" t="s">
        <v>21</v>
      </c>
      <c r="C44" s="2" t="s">
        <v>16</v>
      </c>
      <c r="D44" s="3">
        <v>45939</v>
      </c>
      <c r="E44" s="3">
        <v>45940</v>
      </c>
      <c r="F44" s="3">
        <v>45944</v>
      </c>
      <c r="G44" s="3">
        <v>45951</v>
      </c>
      <c r="H44" s="23" t="str">
        <f t="shared" si="0"/>
        <v>Delivered</v>
      </c>
      <c r="I44" s="2" t="s">
        <v>17</v>
      </c>
      <c r="J44" s="24" t="s">
        <v>1054</v>
      </c>
      <c r="K44" s="3">
        <v>45973</v>
      </c>
      <c r="L44" s="2">
        <v>1</v>
      </c>
      <c r="M44" s="2">
        <v>4</v>
      </c>
      <c r="N44" s="2">
        <v>7</v>
      </c>
      <c r="O44" s="36">
        <v>7</v>
      </c>
      <c r="P44" s="24" t="str" cm="1">
        <f t="array" ref="P44">_xlfn.IFS(O44&lt;=6,"Detractors",AND(O44&gt;=7,O44&lt;=8),"Passives",AND(O44&gt;8,O44&lt;=10),"Promoters",O44="Not Available","NA")</f>
        <v>Passives</v>
      </c>
    </row>
    <row r="45" spans="1:16" ht="14.25" customHeight="1" x14ac:dyDescent="0.3">
      <c r="A45" s="2" t="s">
        <v>70</v>
      </c>
      <c r="B45" s="2" t="s">
        <v>15</v>
      </c>
      <c r="C45" s="2" t="s">
        <v>22</v>
      </c>
      <c r="D45" s="3">
        <v>45959</v>
      </c>
      <c r="H45" s="23" t="str">
        <f t="shared" si="0"/>
        <v>Not Delivered</v>
      </c>
      <c r="I45" s="2" t="s">
        <v>23</v>
      </c>
      <c r="J45" s="2" t="s">
        <v>33</v>
      </c>
      <c r="L45">
        <v>0</v>
      </c>
      <c r="M45">
        <v>0</v>
      </c>
      <c r="N45">
        <v>0</v>
      </c>
      <c r="O45" t="s">
        <v>1080</v>
      </c>
      <c r="P45" s="24" t="str" cm="1">
        <f t="array" ref="P45">_xlfn.IFS(O45&lt;=6,"Detractors",AND(O45&gt;=7,O45&lt;=8),"Passives",AND(O45&gt;8,O45&lt;=10),"Promoters",O45="Not Available","NA")</f>
        <v>NA</v>
      </c>
    </row>
    <row r="46" spans="1:16" ht="14.25" customHeight="1" x14ac:dyDescent="0.3">
      <c r="A46" s="42" t="s">
        <v>71</v>
      </c>
      <c r="B46" s="2" t="s">
        <v>15</v>
      </c>
      <c r="C46" s="2" t="s">
        <v>30</v>
      </c>
      <c r="D46" s="3">
        <v>45945</v>
      </c>
      <c r="E46" s="3">
        <v>45950</v>
      </c>
      <c r="F46" s="3">
        <v>45952</v>
      </c>
      <c r="G46" s="3">
        <v>45956</v>
      </c>
      <c r="H46" s="23" t="str">
        <f t="shared" si="0"/>
        <v>Delivered</v>
      </c>
      <c r="I46" s="2" t="s">
        <v>17</v>
      </c>
      <c r="J46" s="24" t="s">
        <v>1054</v>
      </c>
      <c r="K46" s="3">
        <v>45984</v>
      </c>
      <c r="L46" s="2">
        <v>5</v>
      </c>
      <c r="M46" s="2">
        <v>2</v>
      </c>
      <c r="N46" s="2">
        <v>4</v>
      </c>
      <c r="O46" s="36">
        <v>8</v>
      </c>
      <c r="P46" s="24" t="str" cm="1">
        <f t="array" ref="P46">_xlfn.IFS(O46&lt;=6,"Detractors",AND(O46&gt;=7,O46&lt;=8),"Passives",AND(O46&gt;8,O46&lt;=10),"Promoters",O46="Not Available","NA")</f>
        <v>Passives</v>
      </c>
    </row>
    <row r="47" spans="1:16" ht="14.25" customHeight="1" x14ac:dyDescent="0.3">
      <c r="A47" s="42" t="s">
        <v>72</v>
      </c>
      <c r="B47" s="2" t="s">
        <v>32</v>
      </c>
      <c r="C47" s="2" t="s">
        <v>30</v>
      </c>
      <c r="D47" s="3">
        <v>45938</v>
      </c>
      <c r="E47" s="3">
        <v>45943</v>
      </c>
      <c r="F47" s="3">
        <v>45947</v>
      </c>
      <c r="G47" s="3">
        <v>45953</v>
      </c>
      <c r="H47" s="23" t="str">
        <f t="shared" si="0"/>
        <v>Delivered</v>
      </c>
      <c r="I47" s="2" t="s">
        <v>17</v>
      </c>
      <c r="J47" s="24" t="s">
        <v>1054</v>
      </c>
      <c r="K47" s="3">
        <v>45966</v>
      </c>
      <c r="L47" s="2">
        <v>5</v>
      </c>
      <c r="M47" s="2">
        <v>4</v>
      </c>
      <c r="N47" s="2">
        <v>6</v>
      </c>
      <c r="O47" s="36">
        <v>3</v>
      </c>
      <c r="P47" s="24" t="str" cm="1">
        <f t="array" ref="P47">_xlfn.IFS(O47&lt;=6,"Detractors",AND(O47&gt;=7,O47&lt;=8),"Passives",AND(O47&gt;8,O47&lt;=10),"Promoters",O47="Not Available","NA")</f>
        <v>Detractors</v>
      </c>
    </row>
    <row r="48" spans="1:16" ht="14.25" customHeight="1" x14ac:dyDescent="0.3">
      <c r="A48" s="2" t="s">
        <v>73</v>
      </c>
      <c r="B48" s="2" t="s">
        <v>21</v>
      </c>
      <c r="C48" s="2" t="s">
        <v>16</v>
      </c>
      <c r="D48" s="3">
        <v>45955</v>
      </c>
      <c r="E48" s="3">
        <v>45957</v>
      </c>
      <c r="F48" s="3">
        <v>45962</v>
      </c>
      <c r="G48" s="3">
        <v>45967</v>
      </c>
      <c r="H48" s="23" t="str">
        <f t="shared" si="0"/>
        <v>Delivered</v>
      </c>
      <c r="I48" s="2" t="s">
        <v>17</v>
      </c>
      <c r="J48" s="24" t="s">
        <v>1054</v>
      </c>
      <c r="K48" s="3">
        <v>45987</v>
      </c>
      <c r="L48" s="2">
        <v>2</v>
      </c>
      <c r="M48" s="2">
        <v>5</v>
      </c>
      <c r="N48" s="2">
        <v>5</v>
      </c>
      <c r="O48" s="36">
        <v>5</v>
      </c>
      <c r="P48" s="24" t="str" cm="1">
        <f t="array" ref="P48">_xlfn.IFS(O48&lt;=6,"Detractors",AND(O48&gt;=7,O48&lt;=8),"Passives",AND(O48&gt;8,O48&lt;=10),"Promoters",O48="Not Available","NA")</f>
        <v>Detractors</v>
      </c>
    </row>
    <row r="49" spans="1:16" ht="14.25" customHeight="1" x14ac:dyDescent="0.3">
      <c r="A49" s="2" t="s">
        <v>74</v>
      </c>
      <c r="B49" s="2" t="s">
        <v>19</v>
      </c>
      <c r="C49" s="2" t="s">
        <v>22</v>
      </c>
      <c r="D49" s="3">
        <v>45945</v>
      </c>
      <c r="H49" s="23" t="str">
        <f t="shared" si="0"/>
        <v>Not Delivered</v>
      </c>
      <c r="I49" s="2" t="s">
        <v>23</v>
      </c>
      <c r="J49" s="2" t="s">
        <v>26</v>
      </c>
      <c r="L49">
        <v>0</v>
      </c>
      <c r="M49">
        <v>0</v>
      </c>
      <c r="N49">
        <v>0</v>
      </c>
      <c r="O49" t="s">
        <v>1080</v>
      </c>
      <c r="P49" s="24" t="str" cm="1">
        <f t="array" ref="P49">_xlfn.IFS(O49&lt;=6,"Detractors",AND(O49&gt;=7,O49&lt;=8),"Passives",AND(O49&gt;8,O49&lt;=10),"Promoters",O49="Not Available","NA")</f>
        <v>NA</v>
      </c>
    </row>
    <row r="50" spans="1:16" ht="14.25" customHeight="1" x14ac:dyDescent="0.3">
      <c r="A50" s="42" t="s">
        <v>75</v>
      </c>
      <c r="B50" s="2" t="s">
        <v>32</v>
      </c>
      <c r="C50" s="2" t="s">
        <v>30</v>
      </c>
      <c r="D50" s="3">
        <v>45949</v>
      </c>
      <c r="E50" s="3">
        <v>45951</v>
      </c>
      <c r="F50" s="3">
        <v>45956</v>
      </c>
      <c r="G50" s="3">
        <v>45962</v>
      </c>
      <c r="H50" s="23" t="str">
        <f t="shared" si="0"/>
        <v>Delivered</v>
      </c>
      <c r="I50" s="2" t="s">
        <v>17</v>
      </c>
      <c r="J50" s="24" t="s">
        <v>1054</v>
      </c>
      <c r="K50" s="3">
        <v>45981</v>
      </c>
      <c r="L50" s="2">
        <v>2</v>
      </c>
      <c r="M50" s="2">
        <v>5</v>
      </c>
      <c r="N50" s="2">
        <v>6</v>
      </c>
      <c r="O50" s="36">
        <v>0</v>
      </c>
      <c r="P50" s="24" t="str" cm="1">
        <f t="array" ref="P50">_xlfn.IFS(O50&lt;=6,"Detractors",AND(O50&gt;=7,O50&lt;=8),"Passives",AND(O50&gt;8,O50&lt;=10),"Promoters",O50="Not Available","NA")</f>
        <v>Detractors</v>
      </c>
    </row>
    <row r="51" spans="1:16" ht="14.25" customHeight="1" x14ac:dyDescent="0.3">
      <c r="A51" s="42" t="s">
        <v>76</v>
      </c>
      <c r="B51" s="2" t="s">
        <v>15</v>
      </c>
      <c r="C51" s="2" t="s">
        <v>30</v>
      </c>
      <c r="D51" s="3">
        <v>45950</v>
      </c>
      <c r="E51" s="3">
        <v>45954</v>
      </c>
      <c r="F51" s="3">
        <v>45958</v>
      </c>
      <c r="G51" s="3">
        <v>45963</v>
      </c>
      <c r="H51" s="23" t="str">
        <f t="shared" si="0"/>
        <v>Delivered</v>
      </c>
      <c r="I51" s="2" t="s">
        <v>17</v>
      </c>
      <c r="J51" s="24" t="s">
        <v>1054</v>
      </c>
      <c r="K51" s="3">
        <v>45983</v>
      </c>
      <c r="L51" s="2">
        <v>4</v>
      </c>
      <c r="M51" s="2">
        <v>4</v>
      </c>
      <c r="N51" s="2">
        <v>5</v>
      </c>
      <c r="O51" s="36">
        <v>6</v>
      </c>
      <c r="P51" s="24" t="str" cm="1">
        <f t="array" ref="P51">_xlfn.IFS(O51&lt;=6,"Detractors",AND(O51&gt;=7,O51&lt;=8),"Passives",AND(O51&gt;8,O51&lt;=10),"Promoters",O51="Not Available","NA")</f>
        <v>Detractors</v>
      </c>
    </row>
    <row r="52" spans="1:16" ht="14.25" customHeight="1" x14ac:dyDescent="0.3">
      <c r="A52" s="42" t="s">
        <v>77</v>
      </c>
      <c r="B52" s="2" t="s">
        <v>15</v>
      </c>
      <c r="C52" s="2" t="s">
        <v>30</v>
      </c>
      <c r="D52" s="3">
        <v>45952</v>
      </c>
      <c r="E52" s="3">
        <v>45954</v>
      </c>
      <c r="F52" s="3">
        <v>45955</v>
      </c>
      <c r="G52" s="3">
        <v>45961</v>
      </c>
      <c r="H52" s="23" t="str">
        <f t="shared" si="0"/>
        <v>Delivered</v>
      </c>
      <c r="I52" s="2" t="s">
        <v>17</v>
      </c>
      <c r="J52" s="24" t="s">
        <v>1054</v>
      </c>
      <c r="K52" s="3">
        <v>45975</v>
      </c>
      <c r="L52" s="2">
        <v>2</v>
      </c>
      <c r="M52" s="2">
        <v>1</v>
      </c>
      <c r="N52" s="2">
        <v>6</v>
      </c>
      <c r="O52" s="36">
        <v>6</v>
      </c>
      <c r="P52" s="24" t="str" cm="1">
        <f t="array" ref="P52">_xlfn.IFS(O52&lt;=6,"Detractors",AND(O52&gt;=7,O52&lt;=8),"Passives",AND(O52&gt;8,O52&lt;=10),"Promoters",O52="Not Available","NA")</f>
        <v>Detractors</v>
      </c>
    </row>
    <row r="53" spans="1:16" ht="14.25" customHeight="1" x14ac:dyDescent="0.3">
      <c r="A53" s="42" t="s">
        <v>78</v>
      </c>
      <c r="B53" s="2" t="s">
        <v>21</v>
      </c>
      <c r="C53" s="2" t="s">
        <v>30</v>
      </c>
      <c r="D53" s="3">
        <v>45943</v>
      </c>
      <c r="E53" s="3">
        <v>45944</v>
      </c>
      <c r="F53" s="3">
        <v>45946</v>
      </c>
      <c r="G53" s="3">
        <v>45948</v>
      </c>
      <c r="H53" s="23" t="str">
        <f t="shared" si="0"/>
        <v>Delivered</v>
      </c>
      <c r="I53" s="2" t="s">
        <v>17</v>
      </c>
      <c r="J53" s="24" t="s">
        <v>1054</v>
      </c>
      <c r="K53" s="3">
        <v>45963</v>
      </c>
      <c r="L53" s="2">
        <v>1</v>
      </c>
      <c r="M53" s="2">
        <v>2</v>
      </c>
      <c r="N53" s="2">
        <v>2</v>
      </c>
      <c r="O53" s="36">
        <v>6</v>
      </c>
      <c r="P53" s="24" t="str" cm="1">
        <f t="array" ref="P53">_xlfn.IFS(O53&lt;=6,"Detractors",AND(O53&gt;=7,O53&lt;=8),"Passives",AND(O53&gt;8,O53&lt;=10),"Promoters",O53="Not Available","NA")</f>
        <v>Detractors</v>
      </c>
    </row>
    <row r="54" spans="1:16" ht="14.25" customHeight="1" x14ac:dyDescent="0.3">
      <c r="A54" s="42" t="s">
        <v>79</v>
      </c>
      <c r="B54" s="2" t="s">
        <v>15</v>
      </c>
      <c r="C54" s="2" t="s">
        <v>30</v>
      </c>
      <c r="D54" s="3">
        <v>45941</v>
      </c>
      <c r="E54" s="3">
        <v>45944</v>
      </c>
      <c r="F54" s="3">
        <v>45949</v>
      </c>
      <c r="G54" s="3">
        <v>45953</v>
      </c>
      <c r="H54" s="23" t="str">
        <f t="shared" si="0"/>
        <v>Delivered</v>
      </c>
      <c r="I54" s="2" t="s">
        <v>17</v>
      </c>
      <c r="J54" s="24" t="s">
        <v>1054</v>
      </c>
      <c r="K54" s="3">
        <v>45976</v>
      </c>
      <c r="L54" s="2">
        <v>3</v>
      </c>
      <c r="M54" s="2">
        <v>5</v>
      </c>
      <c r="N54" s="2">
        <v>4</v>
      </c>
      <c r="O54" s="36">
        <v>4</v>
      </c>
      <c r="P54" s="24" t="str" cm="1">
        <f t="array" ref="P54">_xlfn.IFS(O54&lt;=6,"Detractors",AND(O54&gt;=7,O54&lt;=8),"Passives",AND(O54&gt;8,O54&lt;=10),"Promoters",O54="Not Available","NA")</f>
        <v>Detractors</v>
      </c>
    </row>
    <row r="55" spans="1:16" ht="14.25" customHeight="1" x14ac:dyDescent="0.3">
      <c r="A55" s="2" t="s">
        <v>80</v>
      </c>
      <c r="B55" s="2" t="s">
        <v>19</v>
      </c>
      <c r="C55" s="2" t="s">
        <v>16</v>
      </c>
      <c r="D55" s="3">
        <v>45931</v>
      </c>
      <c r="E55" s="3">
        <v>45936</v>
      </c>
      <c r="F55" s="3">
        <v>45938</v>
      </c>
      <c r="G55" s="3">
        <v>45942</v>
      </c>
      <c r="H55" s="23" t="str">
        <f t="shared" si="0"/>
        <v>Delivered</v>
      </c>
      <c r="I55" s="2" t="s">
        <v>17</v>
      </c>
      <c r="J55" s="24" t="s">
        <v>1054</v>
      </c>
      <c r="K55" s="3">
        <v>45972</v>
      </c>
      <c r="L55" s="2">
        <v>5</v>
      </c>
      <c r="M55" s="2">
        <v>2</v>
      </c>
      <c r="N55" s="2">
        <v>4</v>
      </c>
      <c r="O55" s="36">
        <v>4</v>
      </c>
      <c r="P55" s="24" t="str" cm="1">
        <f t="array" ref="P55">_xlfn.IFS(O55&lt;=6,"Detractors",AND(O55&gt;=7,O55&lt;=8),"Passives",AND(O55&gt;8,O55&lt;=10),"Promoters",O55="Not Available","NA")</f>
        <v>Detractors</v>
      </c>
    </row>
    <row r="56" spans="1:16" ht="14.25" customHeight="1" x14ac:dyDescent="0.3">
      <c r="A56" s="2" t="s">
        <v>81</v>
      </c>
      <c r="B56" s="2" t="s">
        <v>21</v>
      </c>
      <c r="C56" s="2" t="s">
        <v>16</v>
      </c>
      <c r="D56" s="3">
        <v>45946</v>
      </c>
      <c r="E56" s="3">
        <v>45949</v>
      </c>
      <c r="F56" s="3">
        <v>45954</v>
      </c>
      <c r="G56" s="3">
        <v>45959</v>
      </c>
      <c r="H56" s="23" t="str">
        <f t="shared" si="0"/>
        <v>Delivered</v>
      </c>
      <c r="I56" s="2" t="s">
        <v>17</v>
      </c>
      <c r="J56" s="24" t="s">
        <v>1054</v>
      </c>
      <c r="K56" s="3">
        <v>45984</v>
      </c>
      <c r="L56" s="2">
        <v>3</v>
      </c>
      <c r="M56" s="2">
        <v>5</v>
      </c>
      <c r="N56" s="2">
        <v>5</v>
      </c>
      <c r="O56" s="36">
        <v>8</v>
      </c>
      <c r="P56" s="24" t="str" cm="1">
        <f t="array" ref="P56">_xlfn.IFS(O56&lt;=6,"Detractors",AND(O56&gt;=7,O56&lt;=8),"Passives",AND(O56&gt;8,O56&lt;=10),"Promoters",O56="Not Available","NA")</f>
        <v>Passives</v>
      </c>
    </row>
    <row r="57" spans="1:16" ht="14.25" customHeight="1" x14ac:dyDescent="0.3">
      <c r="A57" s="42" t="s">
        <v>82</v>
      </c>
      <c r="B57" s="2" t="s">
        <v>15</v>
      </c>
      <c r="C57" s="2" t="s">
        <v>30</v>
      </c>
      <c r="D57" s="3">
        <v>45958</v>
      </c>
      <c r="E57" s="3">
        <v>45959</v>
      </c>
      <c r="F57" s="3">
        <v>45962</v>
      </c>
      <c r="G57" s="3">
        <v>45968</v>
      </c>
      <c r="H57" s="23" t="str">
        <f t="shared" si="0"/>
        <v>Delivered</v>
      </c>
      <c r="I57" s="2" t="s">
        <v>17</v>
      </c>
      <c r="J57" s="24" t="s">
        <v>1054</v>
      </c>
      <c r="K57" s="3">
        <v>45998</v>
      </c>
      <c r="L57" s="2">
        <v>1</v>
      </c>
      <c r="M57" s="2">
        <v>3</v>
      </c>
      <c r="N57" s="2">
        <v>6</v>
      </c>
      <c r="O57" s="36">
        <v>3</v>
      </c>
      <c r="P57" s="24" t="str" cm="1">
        <f t="array" ref="P57">_xlfn.IFS(O57&lt;=6,"Detractors",AND(O57&gt;=7,O57&lt;=8),"Passives",AND(O57&gt;8,O57&lt;=10),"Promoters",O57="Not Available","NA")</f>
        <v>Detractors</v>
      </c>
    </row>
    <row r="58" spans="1:16" ht="14.25" customHeight="1" x14ac:dyDescent="0.3">
      <c r="A58" s="2" t="s">
        <v>83</v>
      </c>
      <c r="B58" s="2" t="s">
        <v>21</v>
      </c>
      <c r="C58" s="2" t="s">
        <v>16</v>
      </c>
      <c r="D58" s="3">
        <v>45941</v>
      </c>
      <c r="E58" s="3">
        <v>45944</v>
      </c>
      <c r="F58" s="3">
        <v>45948</v>
      </c>
      <c r="G58" s="3">
        <v>45951</v>
      </c>
      <c r="H58" s="23" t="str">
        <f t="shared" si="0"/>
        <v>Delivered</v>
      </c>
      <c r="I58" s="2" t="s">
        <v>17</v>
      </c>
      <c r="J58" s="24" t="s">
        <v>1054</v>
      </c>
      <c r="K58" s="3">
        <v>45971</v>
      </c>
      <c r="L58" s="2">
        <v>3</v>
      </c>
      <c r="M58" s="2">
        <v>4</v>
      </c>
      <c r="N58" s="2">
        <v>3</v>
      </c>
      <c r="O58" s="36">
        <v>6</v>
      </c>
      <c r="P58" s="24" t="str" cm="1">
        <f t="array" ref="P58">_xlfn.IFS(O58&lt;=6,"Detractors",AND(O58&gt;=7,O58&lt;=8),"Passives",AND(O58&gt;8,O58&lt;=10),"Promoters",O58="Not Available","NA")</f>
        <v>Detractors</v>
      </c>
    </row>
    <row r="59" spans="1:16" ht="14.25" customHeight="1" x14ac:dyDescent="0.3">
      <c r="A59" s="42" t="s">
        <v>84</v>
      </c>
      <c r="B59" s="2" t="s">
        <v>15</v>
      </c>
      <c r="C59" s="2" t="s">
        <v>30</v>
      </c>
      <c r="D59" s="3">
        <v>45936</v>
      </c>
      <c r="E59" s="3">
        <v>45941</v>
      </c>
      <c r="F59" s="3">
        <v>45946</v>
      </c>
      <c r="G59" s="3">
        <v>45953</v>
      </c>
      <c r="H59" s="23" t="str">
        <f t="shared" si="0"/>
        <v>Delivered</v>
      </c>
      <c r="I59" s="2" t="s">
        <v>17</v>
      </c>
      <c r="J59" s="24" t="s">
        <v>1054</v>
      </c>
      <c r="K59" s="3">
        <v>45968</v>
      </c>
      <c r="L59" s="2">
        <v>5</v>
      </c>
      <c r="M59" s="2">
        <v>5</v>
      </c>
      <c r="N59" s="2">
        <v>7</v>
      </c>
      <c r="O59" s="36">
        <v>1</v>
      </c>
      <c r="P59" s="24" t="str" cm="1">
        <f t="array" ref="P59">_xlfn.IFS(O59&lt;=6,"Detractors",AND(O59&gt;=7,O59&lt;=8),"Passives",AND(O59&gt;8,O59&lt;=10),"Promoters",O59="Not Available","NA")</f>
        <v>Detractors</v>
      </c>
    </row>
    <row r="60" spans="1:16" ht="14.25" customHeight="1" x14ac:dyDescent="0.3">
      <c r="A60" s="2" t="s">
        <v>85</v>
      </c>
      <c r="B60" s="2" t="s">
        <v>15</v>
      </c>
      <c r="C60" s="2" t="s">
        <v>16</v>
      </c>
      <c r="D60" s="3">
        <v>45946</v>
      </c>
      <c r="E60" s="3">
        <v>45948</v>
      </c>
      <c r="F60" s="3">
        <v>45952</v>
      </c>
      <c r="G60" s="3">
        <v>45959</v>
      </c>
      <c r="H60" s="23" t="str">
        <f t="shared" si="0"/>
        <v>Delivered</v>
      </c>
      <c r="I60" s="2" t="s">
        <v>23</v>
      </c>
      <c r="J60" s="2" t="s">
        <v>63</v>
      </c>
      <c r="L60" s="2">
        <v>2</v>
      </c>
      <c r="M60" s="2">
        <v>4</v>
      </c>
      <c r="N60" s="2">
        <v>7</v>
      </c>
      <c r="O60" t="s">
        <v>1080</v>
      </c>
      <c r="P60" s="24" t="str" cm="1">
        <f t="array" ref="P60">_xlfn.IFS(O60&lt;=6,"Detractors",AND(O60&gt;=7,O60&lt;=8),"Passives",AND(O60&gt;8,O60&lt;=10),"Promoters",O60="Not Available","NA")</f>
        <v>NA</v>
      </c>
    </row>
    <row r="61" spans="1:16" ht="14.25" customHeight="1" x14ac:dyDescent="0.3">
      <c r="A61" s="2" t="s">
        <v>86</v>
      </c>
      <c r="B61" s="2" t="s">
        <v>15</v>
      </c>
      <c r="C61" s="2" t="s">
        <v>16</v>
      </c>
      <c r="D61" s="3">
        <v>45937</v>
      </c>
      <c r="E61" s="3">
        <v>45941</v>
      </c>
      <c r="F61" s="3">
        <v>45944</v>
      </c>
      <c r="G61" s="3">
        <v>45948</v>
      </c>
      <c r="H61" s="23" t="str">
        <f t="shared" si="0"/>
        <v>Delivered</v>
      </c>
      <c r="I61" s="2" t="s">
        <v>17</v>
      </c>
      <c r="J61" s="24" t="s">
        <v>1054</v>
      </c>
      <c r="K61" s="3">
        <v>45975</v>
      </c>
      <c r="L61" s="2">
        <v>4</v>
      </c>
      <c r="M61" s="2">
        <v>3</v>
      </c>
      <c r="N61" s="2">
        <v>4</v>
      </c>
      <c r="O61" s="36">
        <v>2</v>
      </c>
      <c r="P61" s="24" t="str" cm="1">
        <f t="array" ref="P61">_xlfn.IFS(O61&lt;=6,"Detractors",AND(O61&gt;=7,O61&lt;=8),"Passives",AND(O61&gt;8,O61&lt;=10),"Promoters",O61="Not Available","NA")</f>
        <v>Detractors</v>
      </c>
    </row>
    <row r="62" spans="1:16" ht="14.25" customHeight="1" x14ac:dyDescent="0.3">
      <c r="A62" s="2" t="s">
        <v>87</v>
      </c>
      <c r="B62" s="2" t="s">
        <v>19</v>
      </c>
      <c r="C62" s="2" t="s">
        <v>16</v>
      </c>
      <c r="D62" s="3">
        <v>45942</v>
      </c>
      <c r="E62" s="3">
        <v>45947</v>
      </c>
      <c r="F62" s="3">
        <v>45949</v>
      </c>
      <c r="G62" s="3">
        <v>45955</v>
      </c>
      <c r="H62" s="23" t="str">
        <f t="shared" si="0"/>
        <v>Delivered</v>
      </c>
      <c r="I62" s="2" t="s">
        <v>17</v>
      </c>
      <c r="J62" s="24" t="s">
        <v>1054</v>
      </c>
      <c r="K62" s="3">
        <v>45984</v>
      </c>
      <c r="L62" s="2">
        <v>5</v>
      </c>
      <c r="M62" s="2">
        <v>2</v>
      </c>
      <c r="N62" s="2">
        <v>6</v>
      </c>
      <c r="O62" s="36">
        <v>7</v>
      </c>
      <c r="P62" s="24" t="str" cm="1">
        <f t="array" ref="P62">_xlfn.IFS(O62&lt;=6,"Detractors",AND(O62&gt;=7,O62&lt;=8),"Passives",AND(O62&gt;8,O62&lt;=10),"Promoters",O62="Not Available","NA")</f>
        <v>Passives</v>
      </c>
    </row>
    <row r="63" spans="1:16" ht="14.25" customHeight="1" x14ac:dyDescent="0.3">
      <c r="A63" s="42" t="s">
        <v>88</v>
      </c>
      <c r="B63" s="2" t="s">
        <v>19</v>
      </c>
      <c r="C63" s="2" t="s">
        <v>30</v>
      </c>
      <c r="D63" s="3">
        <v>45956</v>
      </c>
      <c r="E63" s="3">
        <v>45961</v>
      </c>
      <c r="F63" s="3">
        <v>45965</v>
      </c>
      <c r="G63" s="3">
        <v>45971</v>
      </c>
      <c r="H63" s="23" t="str">
        <f t="shared" si="0"/>
        <v>Delivered</v>
      </c>
      <c r="I63" s="2" t="s">
        <v>17</v>
      </c>
      <c r="J63" s="24" t="s">
        <v>1054</v>
      </c>
      <c r="K63" s="3">
        <v>45992</v>
      </c>
      <c r="L63" s="2">
        <v>5</v>
      </c>
      <c r="M63" s="2">
        <v>4</v>
      </c>
      <c r="N63" s="2">
        <v>6</v>
      </c>
      <c r="O63" s="36">
        <v>9</v>
      </c>
      <c r="P63" s="24" t="str" cm="1">
        <f t="array" ref="P63">_xlfn.IFS(O63&lt;=6,"Detractors",AND(O63&gt;=7,O63&lt;=8),"Passives",AND(O63&gt;8,O63&lt;=10),"Promoters",O63="Not Available","NA")</f>
        <v>Promoters</v>
      </c>
    </row>
    <row r="64" spans="1:16" ht="14.25" customHeight="1" x14ac:dyDescent="0.3">
      <c r="A64" s="2" t="s">
        <v>89</v>
      </c>
      <c r="B64" s="2" t="s">
        <v>21</v>
      </c>
      <c r="C64" s="2" t="s">
        <v>16</v>
      </c>
      <c r="D64" s="3">
        <v>45939</v>
      </c>
      <c r="E64" s="3">
        <v>45944</v>
      </c>
      <c r="F64" s="3">
        <v>45949</v>
      </c>
      <c r="G64" s="3">
        <v>45951</v>
      </c>
      <c r="H64" s="23" t="str">
        <f t="shared" si="0"/>
        <v>Delivered</v>
      </c>
      <c r="I64" s="2" t="s">
        <v>17</v>
      </c>
      <c r="J64" s="24" t="s">
        <v>1054</v>
      </c>
      <c r="K64" s="3">
        <v>45968</v>
      </c>
      <c r="L64" s="2">
        <v>5</v>
      </c>
      <c r="M64" s="2">
        <v>5</v>
      </c>
      <c r="N64" s="2">
        <v>2</v>
      </c>
      <c r="O64" s="36">
        <v>3</v>
      </c>
      <c r="P64" s="24" t="str" cm="1">
        <f t="array" ref="P64">_xlfn.IFS(O64&lt;=6,"Detractors",AND(O64&gt;=7,O64&lt;=8),"Passives",AND(O64&gt;8,O64&lt;=10),"Promoters",O64="Not Available","NA")</f>
        <v>Detractors</v>
      </c>
    </row>
    <row r="65" spans="1:16" ht="14.25" customHeight="1" x14ac:dyDescent="0.3">
      <c r="A65" s="42" t="s">
        <v>90</v>
      </c>
      <c r="B65" s="2" t="s">
        <v>15</v>
      </c>
      <c r="C65" s="2" t="s">
        <v>30</v>
      </c>
      <c r="D65" s="3">
        <v>45941</v>
      </c>
      <c r="E65" s="3">
        <v>45946</v>
      </c>
      <c r="F65" s="3">
        <v>45949</v>
      </c>
      <c r="G65" s="3">
        <v>45956</v>
      </c>
      <c r="H65" s="23" t="str">
        <f t="shared" si="0"/>
        <v>Delivered</v>
      </c>
      <c r="I65" s="2" t="s">
        <v>17</v>
      </c>
      <c r="J65" s="24" t="s">
        <v>1054</v>
      </c>
      <c r="K65" s="3">
        <v>45984</v>
      </c>
      <c r="L65" s="2">
        <v>5</v>
      </c>
      <c r="M65" s="2">
        <v>3</v>
      </c>
      <c r="N65" s="2">
        <v>7</v>
      </c>
      <c r="O65" s="36">
        <v>3</v>
      </c>
      <c r="P65" s="24" t="str" cm="1">
        <f t="array" ref="P65">_xlfn.IFS(O65&lt;=6,"Detractors",AND(O65&gt;=7,O65&lt;=8),"Passives",AND(O65&gt;8,O65&lt;=10),"Promoters",O65="Not Available","NA")</f>
        <v>Detractors</v>
      </c>
    </row>
    <row r="66" spans="1:16" ht="14.25" customHeight="1" x14ac:dyDescent="0.3">
      <c r="A66" s="2" t="s">
        <v>91</v>
      </c>
      <c r="B66" s="2" t="s">
        <v>15</v>
      </c>
      <c r="C66" s="2" t="s">
        <v>22</v>
      </c>
      <c r="D66" s="3">
        <v>45939</v>
      </c>
      <c r="H66" s="23" t="str">
        <f t="shared" si="0"/>
        <v>Not Delivered</v>
      </c>
      <c r="I66" s="2" t="s">
        <v>23</v>
      </c>
      <c r="J66" s="2" t="s">
        <v>24</v>
      </c>
      <c r="L66">
        <v>0</v>
      </c>
      <c r="M66">
        <v>0</v>
      </c>
      <c r="N66">
        <v>0</v>
      </c>
      <c r="O66" t="s">
        <v>1080</v>
      </c>
      <c r="P66" s="24" t="str" cm="1">
        <f t="array" ref="P66">_xlfn.IFS(O66&lt;=6,"Detractors",AND(O66&gt;=7,O66&lt;=8),"Passives",AND(O66&gt;8,O66&lt;=10),"Promoters",O66="Not Available","NA")</f>
        <v>NA</v>
      </c>
    </row>
    <row r="67" spans="1:16" ht="14.25" customHeight="1" x14ac:dyDescent="0.3">
      <c r="A67" s="2" t="s">
        <v>92</v>
      </c>
      <c r="B67" s="2" t="s">
        <v>19</v>
      </c>
      <c r="C67" s="2" t="s">
        <v>16</v>
      </c>
      <c r="D67" s="3">
        <v>45959</v>
      </c>
      <c r="E67" s="3">
        <v>45960</v>
      </c>
      <c r="F67" s="3">
        <v>45965</v>
      </c>
      <c r="G67" s="3">
        <v>45968</v>
      </c>
      <c r="H67" s="23" t="str">
        <f t="shared" ref="H67:H130" si="1">IF(G67="", "Not Delivered", "Delivered")</f>
        <v>Delivered</v>
      </c>
      <c r="I67" s="2" t="s">
        <v>17</v>
      </c>
      <c r="J67" s="24" t="s">
        <v>1054</v>
      </c>
      <c r="K67" s="3">
        <v>45983</v>
      </c>
      <c r="L67" s="2">
        <v>1</v>
      </c>
      <c r="M67" s="2">
        <v>5</v>
      </c>
      <c r="N67" s="2">
        <v>3</v>
      </c>
      <c r="O67" s="36">
        <v>10</v>
      </c>
      <c r="P67" s="24" t="str" cm="1">
        <f t="array" ref="P67">_xlfn.IFS(O67&lt;=6,"Detractors",AND(O67&gt;=7,O67&lt;=8),"Passives",AND(O67&gt;8,O67&lt;=10),"Promoters",O67="Not Available","NA")</f>
        <v>Promoters</v>
      </c>
    </row>
    <row r="68" spans="1:16" ht="14.25" customHeight="1" x14ac:dyDescent="0.3">
      <c r="A68" s="2" t="s">
        <v>93</v>
      </c>
      <c r="B68" s="2" t="s">
        <v>15</v>
      </c>
      <c r="C68" s="2" t="s">
        <v>16</v>
      </c>
      <c r="D68" s="3">
        <v>45950</v>
      </c>
      <c r="E68" s="3">
        <v>45955</v>
      </c>
      <c r="F68" s="3">
        <v>45958</v>
      </c>
      <c r="G68" s="3">
        <v>45962</v>
      </c>
      <c r="H68" s="23" t="str">
        <f t="shared" si="1"/>
        <v>Delivered</v>
      </c>
      <c r="I68" s="2" t="s">
        <v>17</v>
      </c>
      <c r="J68" s="24" t="s">
        <v>1054</v>
      </c>
      <c r="K68" s="3">
        <v>45984</v>
      </c>
      <c r="L68" s="2">
        <v>5</v>
      </c>
      <c r="M68" s="2">
        <v>3</v>
      </c>
      <c r="N68" s="2">
        <v>4</v>
      </c>
      <c r="O68" s="36">
        <v>4</v>
      </c>
      <c r="P68" s="24" t="str" cm="1">
        <f t="array" ref="P68">_xlfn.IFS(O68&lt;=6,"Detractors",AND(O68&gt;=7,O68&lt;=8),"Passives",AND(O68&gt;8,O68&lt;=10),"Promoters",O68="Not Available","NA")</f>
        <v>Detractors</v>
      </c>
    </row>
    <row r="69" spans="1:16" ht="14.25" customHeight="1" x14ac:dyDescent="0.3">
      <c r="A69" s="42" t="s">
        <v>94</v>
      </c>
      <c r="B69" s="2" t="s">
        <v>19</v>
      </c>
      <c r="C69" s="2" t="s">
        <v>30</v>
      </c>
      <c r="D69" s="3">
        <v>45953</v>
      </c>
      <c r="E69" s="3">
        <v>45956</v>
      </c>
      <c r="F69" s="3">
        <v>45959</v>
      </c>
      <c r="G69" s="3">
        <v>45961</v>
      </c>
      <c r="H69" s="23" t="str">
        <f t="shared" si="1"/>
        <v>Delivered</v>
      </c>
      <c r="I69" s="2" t="s">
        <v>17</v>
      </c>
      <c r="J69" s="24" t="s">
        <v>1054</v>
      </c>
      <c r="K69" s="3">
        <v>45980</v>
      </c>
      <c r="L69" s="2">
        <v>3</v>
      </c>
      <c r="M69" s="2">
        <v>3</v>
      </c>
      <c r="N69" s="2">
        <v>2</v>
      </c>
      <c r="O69" s="36">
        <v>5</v>
      </c>
      <c r="P69" s="24" t="str" cm="1">
        <f t="array" ref="P69">_xlfn.IFS(O69&lt;=6,"Detractors",AND(O69&gt;=7,O69&lt;=8),"Passives",AND(O69&gt;8,O69&lt;=10),"Promoters",O69="Not Available","NA")</f>
        <v>Detractors</v>
      </c>
    </row>
    <row r="70" spans="1:16" ht="14.25" customHeight="1" x14ac:dyDescent="0.3">
      <c r="A70" s="2" t="s">
        <v>95</v>
      </c>
      <c r="B70" s="2" t="s">
        <v>15</v>
      </c>
      <c r="C70" s="2" t="s">
        <v>22</v>
      </c>
      <c r="D70" s="3">
        <v>45959</v>
      </c>
      <c r="H70" s="23" t="str">
        <f t="shared" si="1"/>
        <v>Not Delivered</v>
      </c>
      <c r="I70" s="2" t="s">
        <v>23</v>
      </c>
      <c r="J70" s="2" t="s">
        <v>63</v>
      </c>
      <c r="L70">
        <v>0</v>
      </c>
      <c r="M70">
        <v>0</v>
      </c>
      <c r="N70">
        <v>0</v>
      </c>
      <c r="O70" t="s">
        <v>1080</v>
      </c>
      <c r="P70" s="24" t="str" cm="1">
        <f t="array" ref="P70">_xlfn.IFS(O70&lt;=6,"Detractors",AND(O70&gt;=7,O70&lt;=8),"Passives",AND(O70&gt;8,O70&lt;=10),"Promoters",O70="Not Available","NA")</f>
        <v>NA</v>
      </c>
    </row>
    <row r="71" spans="1:16" ht="14.25" customHeight="1" x14ac:dyDescent="0.3">
      <c r="A71" s="42" t="s">
        <v>96</v>
      </c>
      <c r="B71" s="2" t="s">
        <v>21</v>
      </c>
      <c r="C71" s="2" t="s">
        <v>30</v>
      </c>
      <c r="D71" s="3">
        <v>45939</v>
      </c>
      <c r="E71" s="3">
        <v>45940</v>
      </c>
      <c r="F71" s="3">
        <v>45945</v>
      </c>
      <c r="G71" s="3">
        <v>45948</v>
      </c>
      <c r="H71" s="23" t="str">
        <f t="shared" si="1"/>
        <v>Delivered</v>
      </c>
      <c r="I71" s="2" t="s">
        <v>17</v>
      </c>
      <c r="J71" s="24" t="s">
        <v>1054</v>
      </c>
      <c r="K71" s="3">
        <v>45967</v>
      </c>
      <c r="L71" s="2">
        <v>1</v>
      </c>
      <c r="M71" s="2">
        <v>5</v>
      </c>
      <c r="N71" s="2">
        <v>3</v>
      </c>
      <c r="O71" s="36">
        <v>1</v>
      </c>
      <c r="P71" s="24" t="str" cm="1">
        <f t="array" ref="P71">_xlfn.IFS(O71&lt;=6,"Detractors",AND(O71&gt;=7,O71&lt;=8),"Passives",AND(O71&gt;8,O71&lt;=10),"Promoters",O71="Not Available","NA")</f>
        <v>Detractors</v>
      </c>
    </row>
    <row r="72" spans="1:16" ht="14.25" customHeight="1" x14ac:dyDescent="0.3">
      <c r="A72" s="42" t="s">
        <v>97</v>
      </c>
      <c r="B72" s="2" t="s">
        <v>15</v>
      </c>
      <c r="C72" s="2" t="s">
        <v>30</v>
      </c>
      <c r="D72" s="3">
        <v>45948</v>
      </c>
      <c r="E72" s="3">
        <v>45950</v>
      </c>
      <c r="F72" s="3">
        <v>45954</v>
      </c>
      <c r="G72" s="3">
        <v>45958</v>
      </c>
      <c r="H72" s="23" t="str">
        <f t="shared" si="1"/>
        <v>Delivered</v>
      </c>
      <c r="I72" s="2" t="s">
        <v>17</v>
      </c>
      <c r="J72" s="24" t="s">
        <v>1054</v>
      </c>
      <c r="K72" s="3">
        <v>45972</v>
      </c>
      <c r="L72" s="2">
        <v>2</v>
      </c>
      <c r="M72" s="2">
        <v>4</v>
      </c>
      <c r="N72" s="2">
        <v>4</v>
      </c>
      <c r="O72" s="36">
        <v>10</v>
      </c>
      <c r="P72" s="24" t="str" cm="1">
        <f t="array" ref="P72">_xlfn.IFS(O72&lt;=6,"Detractors",AND(O72&gt;=7,O72&lt;=8),"Passives",AND(O72&gt;8,O72&lt;=10),"Promoters",O72="Not Available","NA")</f>
        <v>Promoters</v>
      </c>
    </row>
    <row r="73" spans="1:16" ht="14.25" customHeight="1" x14ac:dyDescent="0.3">
      <c r="A73" s="2" t="s">
        <v>98</v>
      </c>
      <c r="B73" s="2" t="s">
        <v>15</v>
      </c>
      <c r="C73" s="2" t="s">
        <v>16</v>
      </c>
      <c r="D73" s="3">
        <v>45931</v>
      </c>
      <c r="E73" s="3">
        <v>45934</v>
      </c>
      <c r="F73" s="3">
        <v>45936</v>
      </c>
      <c r="G73" s="3">
        <v>45938</v>
      </c>
      <c r="H73" s="23" t="str">
        <f t="shared" si="1"/>
        <v>Delivered</v>
      </c>
      <c r="I73" s="2" t="s">
        <v>17</v>
      </c>
      <c r="J73" s="24" t="s">
        <v>1054</v>
      </c>
      <c r="K73" s="3">
        <v>45953</v>
      </c>
      <c r="L73" s="2">
        <v>3</v>
      </c>
      <c r="M73" s="2">
        <v>2</v>
      </c>
      <c r="N73" s="2">
        <v>2</v>
      </c>
      <c r="O73" s="36">
        <v>7</v>
      </c>
      <c r="P73" s="24" t="str" cm="1">
        <f t="array" ref="P73">_xlfn.IFS(O73&lt;=6,"Detractors",AND(O73&gt;=7,O73&lt;=8),"Passives",AND(O73&gt;8,O73&lt;=10),"Promoters",O73="Not Available","NA")</f>
        <v>Passives</v>
      </c>
    </row>
    <row r="74" spans="1:16" ht="14.25" customHeight="1" x14ac:dyDescent="0.3">
      <c r="A74" s="42" t="s">
        <v>99</v>
      </c>
      <c r="B74" s="2" t="s">
        <v>32</v>
      </c>
      <c r="C74" s="2" t="s">
        <v>30</v>
      </c>
      <c r="D74" s="3">
        <v>45947</v>
      </c>
      <c r="E74" s="3">
        <v>45950</v>
      </c>
      <c r="F74" s="3">
        <v>45952</v>
      </c>
      <c r="G74" s="3">
        <v>45955</v>
      </c>
      <c r="H74" s="23" t="str">
        <f t="shared" si="1"/>
        <v>Delivered</v>
      </c>
      <c r="I74" s="2" t="s">
        <v>17</v>
      </c>
      <c r="J74" s="24" t="s">
        <v>1054</v>
      </c>
      <c r="K74" s="3">
        <v>45965</v>
      </c>
      <c r="L74" s="2">
        <v>3</v>
      </c>
      <c r="M74" s="2">
        <v>2</v>
      </c>
      <c r="N74" s="2">
        <v>3</v>
      </c>
      <c r="O74" s="36">
        <v>6</v>
      </c>
      <c r="P74" s="24" t="str" cm="1">
        <f t="array" ref="P74">_xlfn.IFS(O74&lt;=6,"Detractors",AND(O74&gt;=7,O74&lt;=8),"Passives",AND(O74&gt;8,O74&lt;=10),"Promoters",O74="Not Available","NA")</f>
        <v>Detractors</v>
      </c>
    </row>
    <row r="75" spans="1:16" ht="14.25" customHeight="1" x14ac:dyDescent="0.3">
      <c r="A75" s="2" t="s">
        <v>100</v>
      </c>
      <c r="B75" s="2" t="s">
        <v>19</v>
      </c>
      <c r="C75" s="2" t="s">
        <v>22</v>
      </c>
      <c r="D75" s="3">
        <v>45961</v>
      </c>
      <c r="H75" s="23" t="str">
        <f t="shared" si="1"/>
        <v>Not Delivered</v>
      </c>
      <c r="I75" s="2" t="s">
        <v>23</v>
      </c>
      <c r="J75" s="2" t="s">
        <v>101</v>
      </c>
      <c r="L75">
        <v>0</v>
      </c>
      <c r="M75">
        <v>0</v>
      </c>
      <c r="N75">
        <v>0</v>
      </c>
      <c r="O75" t="s">
        <v>1080</v>
      </c>
      <c r="P75" s="24" t="str" cm="1">
        <f t="array" ref="P75">_xlfn.IFS(O75&lt;=6,"Detractors",AND(O75&gt;=7,O75&lt;=8),"Passives",AND(O75&gt;8,O75&lt;=10),"Promoters",O75="Not Available","NA")</f>
        <v>NA</v>
      </c>
    </row>
    <row r="76" spans="1:16" ht="14.25" customHeight="1" x14ac:dyDescent="0.3">
      <c r="A76" s="2" t="s">
        <v>102</v>
      </c>
      <c r="B76" s="2" t="s">
        <v>15</v>
      </c>
      <c r="C76" s="2" t="s">
        <v>16</v>
      </c>
      <c r="D76" s="3">
        <v>45937</v>
      </c>
      <c r="E76" s="3">
        <v>45940</v>
      </c>
      <c r="F76" s="3">
        <v>45943</v>
      </c>
      <c r="G76" s="3">
        <v>45947</v>
      </c>
      <c r="H76" s="23" t="str">
        <f t="shared" si="1"/>
        <v>Delivered</v>
      </c>
      <c r="I76" s="2" t="s">
        <v>17</v>
      </c>
      <c r="J76" s="24" t="s">
        <v>1054</v>
      </c>
      <c r="K76" s="3">
        <v>45975</v>
      </c>
      <c r="L76" s="2">
        <v>3</v>
      </c>
      <c r="M76" s="2">
        <v>3</v>
      </c>
      <c r="N76" s="2">
        <v>4</v>
      </c>
      <c r="O76" s="36">
        <v>0</v>
      </c>
      <c r="P76" s="24" t="str" cm="1">
        <f t="array" ref="P76">_xlfn.IFS(O76&lt;=6,"Detractors",AND(O76&gt;=7,O76&lt;=8),"Passives",AND(O76&gt;8,O76&lt;=10),"Promoters",O76="Not Available","NA")</f>
        <v>Detractors</v>
      </c>
    </row>
    <row r="77" spans="1:16" ht="14.25" customHeight="1" x14ac:dyDescent="0.3">
      <c r="A77" s="42" t="s">
        <v>103</v>
      </c>
      <c r="B77" s="2" t="s">
        <v>15</v>
      </c>
      <c r="C77" s="2" t="s">
        <v>30</v>
      </c>
      <c r="D77" s="3">
        <v>45933</v>
      </c>
      <c r="E77" s="3">
        <v>45936</v>
      </c>
      <c r="F77" s="3">
        <v>45941</v>
      </c>
      <c r="G77" s="3">
        <v>45948</v>
      </c>
      <c r="H77" s="23" t="str">
        <f t="shared" si="1"/>
        <v>Delivered</v>
      </c>
      <c r="I77" s="2" t="s">
        <v>17</v>
      </c>
      <c r="J77" s="24" t="s">
        <v>1054</v>
      </c>
      <c r="K77" s="3">
        <v>45970</v>
      </c>
      <c r="L77" s="2">
        <v>3</v>
      </c>
      <c r="M77" s="2">
        <v>5</v>
      </c>
      <c r="N77" s="2">
        <v>7</v>
      </c>
      <c r="O77" s="36">
        <v>1</v>
      </c>
      <c r="P77" s="24" t="str" cm="1">
        <f t="array" ref="P77">_xlfn.IFS(O77&lt;=6,"Detractors",AND(O77&gt;=7,O77&lt;=8),"Passives",AND(O77&gt;8,O77&lt;=10),"Promoters",O77="Not Available","NA")</f>
        <v>Detractors</v>
      </c>
    </row>
    <row r="78" spans="1:16" ht="14.25" customHeight="1" x14ac:dyDescent="0.3">
      <c r="A78" s="2" t="s">
        <v>104</v>
      </c>
      <c r="B78" s="2" t="s">
        <v>32</v>
      </c>
      <c r="C78" s="2" t="s">
        <v>16</v>
      </c>
      <c r="D78" s="3">
        <v>45938</v>
      </c>
      <c r="E78" s="3">
        <v>45939</v>
      </c>
      <c r="F78" s="3">
        <v>45942</v>
      </c>
      <c r="G78" s="3">
        <v>45945</v>
      </c>
      <c r="H78" s="23" t="str">
        <f t="shared" si="1"/>
        <v>Delivered</v>
      </c>
      <c r="I78" s="2" t="s">
        <v>17</v>
      </c>
      <c r="J78" s="24" t="s">
        <v>1054</v>
      </c>
      <c r="K78" s="3">
        <v>45973</v>
      </c>
      <c r="L78" s="2">
        <v>1</v>
      </c>
      <c r="M78" s="2">
        <v>3</v>
      </c>
      <c r="N78" s="2">
        <v>3</v>
      </c>
      <c r="O78" s="36">
        <v>8</v>
      </c>
      <c r="P78" s="24" t="str" cm="1">
        <f t="array" ref="P78">_xlfn.IFS(O78&lt;=6,"Detractors",AND(O78&gt;=7,O78&lt;=8),"Passives",AND(O78&gt;8,O78&lt;=10),"Promoters",O78="Not Available","NA")</f>
        <v>Passives</v>
      </c>
    </row>
    <row r="79" spans="1:16" ht="14.25" customHeight="1" x14ac:dyDescent="0.3">
      <c r="A79" s="2" t="s">
        <v>105</v>
      </c>
      <c r="B79" s="2" t="s">
        <v>32</v>
      </c>
      <c r="C79" s="2" t="s">
        <v>22</v>
      </c>
      <c r="D79" s="3">
        <v>45954</v>
      </c>
      <c r="H79" s="23" t="str">
        <f t="shared" si="1"/>
        <v>Not Delivered</v>
      </c>
      <c r="I79" s="2" t="s">
        <v>23</v>
      </c>
      <c r="J79" s="2" t="s">
        <v>24</v>
      </c>
      <c r="L79">
        <v>0</v>
      </c>
      <c r="M79">
        <v>0</v>
      </c>
      <c r="N79">
        <v>0</v>
      </c>
      <c r="O79" t="s">
        <v>1080</v>
      </c>
      <c r="P79" s="24" t="str" cm="1">
        <f t="array" ref="P79">_xlfn.IFS(O79&lt;=6,"Detractors",AND(O79&gt;=7,O79&lt;=8),"Passives",AND(O79&gt;8,O79&lt;=10),"Promoters",O79="Not Available","NA")</f>
        <v>NA</v>
      </c>
    </row>
    <row r="80" spans="1:16" ht="14.25" customHeight="1" x14ac:dyDescent="0.3">
      <c r="A80" s="2" t="s">
        <v>106</v>
      </c>
      <c r="B80" s="2" t="s">
        <v>19</v>
      </c>
      <c r="C80" s="2" t="s">
        <v>22</v>
      </c>
      <c r="D80" s="3">
        <v>45944</v>
      </c>
      <c r="H80" s="23" t="str">
        <f t="shared" si="1"/>
        <v>Not Delivered</v>
      </c>
      <c r="I80" s="2" t="s">
        <v>23</v>
      </c>
      <c r="J80" s="2" t="s">
        <v>63</v>
      </c>
      <c r="L80">
        <v>0</v>
      </c>
      <c r="M80">
        <v>0</v>
      </c>
      <c r="N80">
        <v>0</v>
      </c>
      <c r="O80" t="s">
        <v>1080</v>
      </c>
      <c r="P80" s="24" t="str" cm="1">
        <f t="array" ref="P80">_xlfn.IFS(O80&lt;=6,"Detractors",AND(O80&gt;=7,O80&lt;=8),"Passives",AND(O80&gt;8,O80&lt;=10),"Promoters",O80="Not Available","NA")</f>
        <v>NA</v>
      </c>
    </row>
    <row r="81" spans="1:16" ht="14.25" customHeight="1" x14ac:dyDescent="0.3">
      <c r="A81" s="2" t="s">
        <v>107</v>
      </c>
      <c r="B81" s="2" t="s">
        <v>32</v>
      </c>
      <c r="C81" s="2" t="s">
        <v>16</v>
      </c>
      <c r="D81" s="3">
        <v>45946</v>
      </c>
      <c r="E81" s="3">
        <v>45948</v>
      </c>
      <c r="F81" s="3">
        <v>45950</v>
      </c>
      <c r="G81" s="3">
        <v>45956</v>
      </c>
      <c r="H81" s="23" t="str">
        <f t="shared" si="1"/>
        <v>Delivered</v>
      </c>
      <c r="I81" s="2" t="s">
        <v>23</v>
      </c>
      <c r="J81" s="2" t="s">
        <v>33</v>
      </c>
      <c r="L81" s="2">
        <v>2</v>
      </c>
      <c r="M81" s="2">
        <v>2</v>
      </c>
      <c r="N81" s="2">
        <v>6</v>
      </c>
      <c r="O81" t="s">
        <v>1080</v>
      </c>
      <c r="P81" s="24" t="str" cm="1">
        <f t="array" ref="P81">_xlfn.IFS(O81&lt;=6,"Detractors",AND(O81&gt;=7,O81&lt;=8),"Passives",AND(O81&gt;8,O81&lt;=10),"Promoters",O81="Not Available","NA")</f>
        <v>NA</v>
      </c>
    </row>
    <row r="82" spans="1:16" ht="14.25" customHeight="1" x14ac:dyDescent="0.3">
      <c r="A82" s="2" t="s">
        <v>108</v>
      </c>
      <c r="B82" s="2" t="s">
        <v>21</v>
      </c>
      <c r="C82" s="2" t="s">
        <v>22</v>
      </c>
      <c r="D82" s="3">
        <v>45948</v>
      </c>
      <c r="H82" s="23" t="str">
        <f t="shared" si="1"/>
        <v>Not Delivered</v>
      </c>
      <c r="I82" s="2" t="s">
        <v>23</v>
      </c>
      <c r="J82" s="2" t="s">
        <v>24</v>
      </c>
      <c r="L82">
        <v>0</v>
      </c>
      <c r="M82">
        <v>0</v>
      </c>
      <c r="N82">
        <v>0</v>
      </c>
      <c r="O82" t="s">
        <v>1080</v>
      </c>
      <c r="P82" s="24" t="str" cm="1">
        <f t="array" ref="P82">_xlfn.IFS(O82&lt;=6,"Detractors",AND(O82&gt;=7,O82&lt;=8),"Passives",AND(O82&gt;8,O82&lt;=10),"Promoters",O82="Not Available","NA")</f>
        <v>NA</v>
      </c>
    </row>
    <row r="83" spans="1:16" ht="14.25" customHeight="1" x14ac:dyDescent="0.3">
      <c r="A83" s="2" t="s">
        <v>109</v>
      </c>
      <c r="B83" s="2" t="s">
        <v>32</v>
      </c>
      <c r="C83" s="2" t="s">
        <v>22</v>
      </c>
      <c r="D83" s="3">
        <v>45955</v>
      </c>
      <c r="H83" s="23" t="str">
        <f t="shared" si="1"/>
        <v>Not Delivered</v>
      </c>
      <c r="I83" s="2" t="s">
        <v>23</v>
      </c>
      <c r="J83" s="2" t="s">
        <v>24</v>
      </c>
      <c r="L83">
        <v>0</v>
      </c>
      <c r="M83">
        <v>0</v>
      </c>
      <c r="N83">
        <v>0</v>
      </c>
      <c r="O83" t="s">
        <v>1080</v>
      </c>
      <c r="P83" s="24" t="str" cm="1">
        <f t="array" ref="P83">_xlfn.IFS(O83&lt;=6,"Detractors",AND(O83&gt;=7,O83&lt;=8),"Passives",AND(O83&gt;8,O83&lt;=10),"Promoters",O83="Not Available","NA")</f>
        <v>NA</v>
      </c>
    </row>
    <row r="84" spans="1:16" ht="14.25" customHeight="1" x14ac:dyDescent="0.3">
      <c r="A84" s="2" t="s">
        <v>110</v>
      </c>
      <c r="B84" s="2" t="s">
        <v>21</v>
      </c>
      <c r="C84" s="2" t="s">
        <v>16</v>
      </c>
      <c r="D84" s="3">
        <v>45938</v>
      </c>
      <c r="E84" s="3">
        <v>45940</v>
      </c>
      <c r="F84" s="3">
        <v>45943</v>
      </c>
      <c r="G84" s="3">
        <v>45948</v>
      </c>
      <c r="H84" s="23" t="str">
        <f t="shared" si="1"/>
        <v>Delivered</v>
      </c>
      <c r="I84" s="2" t="s">
        <v>17</v>
      </c>
      <c r="J84" s="24" t="s">
        <v>1054</v>
      </c>
      <c r="K84" s="3">
        <v>45959</v>
      </c>
      <c r="L84" s="2">
        <v>2</v>
      </c>
      <c r="M84" s="2">
        <v>3</v>
      </c>
      <c r="N84" s="2">
        <v>5</v>
      </c>
      <c r="O84" s="36">
        <v>5</v>
      </c>
      <c r="P84" s="24" t="str" cm="1">
        <f t="array" ref="P84">_xlfn.IFS(O84&lt;=6,"Detractors",AND(O84&gt;=7,O84&lt;=8),"Passives",AND(O84&gt;8,O84&lt;=10),"Promoters",O84="Not Available","NA")</f>
        <v>Detractors</v>
      </c>
    </row>
    <row r="85" spans="1:16" ht="14.25" customHeight="1" x14ac:dyDescent="0.3">
      <c r="A85" s="42" t="s">
        <v>111</v>
      </c>
      <c r="B85" s="2" t="s">
        <v>19</v>
      </c>
      <c r="C85" s="2" t="s">
        <v>30</v>
      </c>
      <c r="D85" s="3">
        <v>45953</v>
      </c>
      <c r="E85" s="3">
        <v>45958</v>
      </c>
      <c r="F85" s="3">
        <v>45961</v>
      </c>
      <c r="G85" s="3">
        <v>45966</v>
      </c>
      <c r="H85" s="23" t="str">
        <f t="shared" si="1"/>
        <v>Delivered</v>
      </c>
      <c r="I85" s="2" t="s">
        <v>17</v>
      </c>
      <c r="J85" s="24" t="s">
        <v>1054</v>
      </c>
      <c r="K85" s="3">
        <v>45981</v>
      </c>
      <c r="L85" s="2">
        <v>5</v>
      </c>
      <c r="M85" s="2">
        <v>3</v>
      </c>
      <c r="N85" s="2">
        <v>5</v>
      </c>
      <c r="O85" s="36">
        <v>5</v>
      </c>
      <c r="P85" s="24" t="str" cm="1">
        <f t="array" ref="P85">_xlfn.IFS(O85&lt;=6,"Detractors",AND(O85&gt;=7,O85&lt;=8),"Passives",AND(O85&gt;8,O85&lt;=10),"Promoters",O85="Not Available","NA")</f>
        <v>Detractors</v>
      </c>
    </row>
    <row r="86" spans="1:16" ht="14.25" customHeight="1" x14ac:dyDescent="0.3">
      <c r="A86" s="2" t="s">
        <v>112</v>
      </c>
      <c r="B86" s="2" t="s">
        <v>19</v>
      </c>
      <c r="C86" s="2" t="s">
        <v>16</v>
      </c>
      <c r="D86" s="3">
        <v>45946</v>
      </c>
      <c r="E86" s="3">
        <v>45950</v>
      </c>
      <c r="F86" s="3">
        <v>45952</v>
      </c>
      <c r="G86" s="3">
        <v>45958</v>
      </c>
      <c r="H86" s="23" t="str">
        <f t="shared" si="1"/>
        <v>Delivered</v>
      </c>
      <c r="I86" s="2" t="s">
        <v>17</v>
      </c>
      <c r="J86" s="24" t="s">
        <v>1054</v>
      </c>
      <c r="K86" s="3">
        <v>45987</v>
      </c>
      <c r="L86" s="2">
        <v>4</v>
      </c>
      <c r="M86" s="2">
        <v>2</v>
      </c>
      <c r="N86" s="2">
        <v>6</v>
      </c>
      <c r="O86" s="36">
        <v>4</v>
      </c>
      <c r="P86" s="24" t="str" cm="1">
        <f t="array" ref="P86">_xlfn.IFS(O86&lt;=6,"Detractors",AND(O86&gt;=7,O86&lt;=8),"Passives",AND(O86&gt;8,O86&lt;=10),"Promoters",O86="Not Available","NA")</f>
        <v>Detractors</v>
      </c>
    </row>
    <row r="87" spans="1:16" ht="14.25" customHeight="1" x14ac:dyDescent="0.3">
      <c r="A87" s="2" t="s">
        <v>113</v>
      </c>
      <c r="B87" s="2" t="s">
        <v>19</v>
      </c>
      <c r="C87" s="2" t="s">
        <v>22</v>
      </c>
      <c r="D87" s="3">
        <v>45951</v>
      </c>
      <c r="H87" s="23" t="str">
        <f t="shared" si="1"/>
        <v>Not Delivered</v>
      </c>
      <c r="I87" s="2" t="s">
        <v>23</v>
      </c>
      <c r="J87" s="2" t="s">
        <v>26</v>
      </c>
      <c r="L87">
        <v>0</v>
      </c>
      <c r="M87">
        <v>0</v>
      </c>
      <c r="N87">
        <v>0</v>
      </c>
      <c r="O87" t="s">
        <v>1080</v>
      </c>
      <c r="P87" s="24" t="str" cm="1">
        <f t="array" ref="P87">_xlfn.IFS(O87&lt;=6,"Detractors",AND(O87&gt;=7,O87&lt;=8),"Passives",AND(O87&gt;8,O87&lt;=10),"Promoters",O87="Not Available","NA")</f>
        <v>NA</v>
      </c>
    </row>
    <row r="88" spans="1:16" ht="14.25" customHeight="1" x14ac:dyDescent="0.3">
      <c r="A88" s="42" t="s">
        <v>114</v>
      </c>
      <c r="B88" s="2" t="s">
        <v>19</v>
      </c>
      <c r="C88" s="2" t="s">
        <v>30</v>
      </c>
      <c r="D88" s="3">
        <v>45953</v>
      </c>
      <c r="E88" s="3">
        <v>45954</v>
      </c>
      <c r="F88" s="3">
        <v>45958</v>
      </c>
      <c r="G88" s="3">
        <v>45961</v>
      </c>
      <c r="H88" s="23" t="str">
        <f t="shared" si="1"/>
        <v>Delivered</v>
      </c>
      <c r="I88" s="2" t="s">
        <v>17</v>
      </c>
      <c r="J88" s="24" t="s">
        <v>1054</v>
      </c>
      <c r="K88" s="3">
        <v>45981</v>
      </c>
      <c r="L88" s="2">
        <v>1</v>
      </c>
      <c r="M88" s="2">
        <v>4</v>
      </c>
      <c r="N88" s="2">
        <v>3</v>
      </c>
      <c r="O88" s="36">
        <v>7</v>
      </c>
      <c r="P88" s="24" t="str" cm="1">
        <f t="array" ref="P88">_xlfn.IFS(O88&lt;=6,"Detractors",AND(O88&gt;=7,O88&lt;=8),"Passives",AND(O88&gt;8,O88&lt;=10),"Promoters",O88="Not Available","NA")</f>
        <v>Passives</v>
      </c>
    </row>
    <row r="89" spans="1:16" ht="14.25" customHeight="1" x14ac:dyDescent="0.3">
      <c r="A89" s="2" t="s">
        <v>115</v>
      </c>
      <c r="B89" s="2" t="s">
        <v>19</v>
      </c>
      <c r="C89" s="2" t="s">
        <v>22</v>
      </c>
      <c r="D89" s="3">
        <v>45946</v>
      </c>
      <c r="H89" s="23" t="str">
        <f t="shared" si="1"/>
        <v>Not Delivered</v>
      </c>
      <c r="I89" s="2" t="s">
        <v>23</v>
      </c>
      <c r="J89" s="2" t="s">
        <v>33</v>
      </c>
      <c r="L89">
        <v>0</v>
      </c>
      <c r="M89">
        <v>0</v>
      </c>
      <c r="N89">
        <v>0</v>
      </c>
      <c r="O89" t="s">
        <v>1080</v>
      </c>
      <c r="P89" s="24" t="str" cm="1">
        <f t="array" ref="P89">_xlfn.IFS(O89&lt;=6,"Detractors",AND(O89&gt;=7,O89&lt;=8),"Passives",AND(O89&gt;8,O89&lt;=10),"Promoters",O89="Not Available","NA")</f>
        <v>NA</v>
      </c>
    </row>
    <row r="90" spans="1:16" ht="14.25" customHeight="1" x14ac:dyDescent="0.3">
      <c r="A90" s="42" t="s">
        <v>116</v>
      </c>
      <c r="B90" s="2" t="s">
        <v>21</v>
      </c>
      <c r="C90" s="2" t="s">
        <v>30</v>
      </c>
      <c r="D90" s="3">
        <v>45945</v>
      </c>
      <c r="E90" s="3">
        <v>45947</v>
      </c>
      <c r="F90" s="3">
        <v>45950</v>
      </c>
      <c r="G90" s="3">
        <v>45956</v>
      </c>
      <c r="H90" s="23" t="str">
        <f t="shared" si="1"/>
        <v>Delivered</v>
      </c>
      <c r="I90" s="2" t="s">
        <v>17</v>
      </c>
      <c r="J90" s="24" t="s">
        <v>1054</v>
      </c>
      <c r="K90" s="3">
        <v>45985</v>
      </c>
      <c r="L90" s="2">
        <v>2</v>
      </c>
      <c r="M90" s="2">
        <v>3</v>
      </c>
      <c r="N90" s="2">
        <v>6</v>
      </c>
      <c r="O90" s="36">
        <v>5</v>
      </c>
      <c r="P90" s="24" t="str" cm="1">
        <f t="array" ref="P90">_xlfn.IFS(O90&lt;=6,"Detractors",AND(O90&gt;=7,O90&lt;=8),"Passives",AND(O90&gt;8,O90&lt;=10),"Promoters",O90="Not Available","NA")</f>
        <v>Detractors</v>
      </c>
    </row>
    <row r="91" spans="1:16" ht="14.25" customHeight="1" x14ac:dyDescent="0.3">
      <c r="A91" s="42" t="s">
        <v>117</v>
      </c>
      <c r="B91" s="2" t="s">
        <v>21</v>
      </c>
      <c r="C91" s="2" t="s">
        <v>30</v>
      </c>
      <c r="D91" s="3">
        <v>45956</v>
      </c>
      <c r="E91" s="3">
        <v>45957</v>
      </c>
      <c r="F91" s="3">
        <v>45961</v>
      </c>
      <c r="G91" s="3">
        <v>45966</v>
      </c>
      <c r="H91" s="23" t="str">
        <f t="shared" si="1"/>
        <v>Delivered</v>
      </c>
      <c r="I91" s="2" t="s">
        <v>17</v>
      </c>
      <c r="J91" s="24" t="s">
        <v>1054</v>
      </c>
      <c r="K91" s="3">
        <v>45983</v>
      </c>
      <c r="L91" s="2">
        <v>1</v>
      </c>
      <c r="M91" s="2">
        <v>4</v>
      </c>
      <c r="N91" s="2">
        <v>5</v>
      </c>
      <c r="O91" s="36">
        <v>8</v>
      </c>
      <c r="P91" s="24" t="str" cm="1">
        <f t="array" ref="P91">_xlfn.IFS(O91&lt;=6,"Detractors",AND(O91&gt;=7,O91&lt;=8),"Passives",AND(O91&gt;8,O91&lt;=10),"Promoters",O91="Not Available","NA")</f>
        <v>Passives</v>
      </c>
    </row>
    <row r="92" spans="1:16" ht="14.25" customHeight="1" x14ac:dyDescent="0.3">
      <c r="A92" s="2" t="s">
        <v>118</v>
      </c>
      <c r="B92" s="2" t="s">
        <v>19</v>
      </c>
      <c r="C92" s="2" t="s">
        <v>16</v>
      </c>
      <c r="D92" s="3">
        <v>45931</v>
      </c>
      <c r="E92" s="3">
        <v>45932</v>
      </c>
      <c r="F92" s="3">
        <v>45935</v>
      </c>
      <c r="G92" s="3">
        <v>45940</v>
      </c>
      <c r="H92" s="23" t="str">
        <f t="shared" si="1"/>
        <v>Delivered</v>
      </c>
      <c r="I92" s="2" t="s">
        <v>17</v>
      </c>
      <c r="J92" s="24" t="s">
        <v>1054</v>
      </c>
      <c r="K92" s="3">
        <v>45970</v>
      </c>
      <c r="L92" s="2">
        <v>1</v>
      </c>
      <c r="M92" s="2">
        <v>3</v>
      </c>
      <c r="N92" s="2">
        <v>5</v>
      </c>
      <c r="O92" s="36">
        <v>0</v>
      </c>
      <c r="P92" s="24" t="str" cm="1">
        <f t="array" ref="P92">_xlfn.IFS(O92&lt;=6,"Detractors",AND(O92&gt;=7,O92&lt;=8),"Passives",AND(O92&gt;8,O92&lt;=10),"Promoters",O92="Not Available","NA")</f>
        <v>Detractors</v>
      </c>
    </row>
    <row r="93" spans="1:16" ht="14.25" customHeight="1" x14ac:dyDescent="0.3">
      <c r="A93" s="42" t="s">
        <v>119</v>
      </c>
      <c r="B93" s="2" t="s">
        <v>32</v>
      </c>
      <c r="C93" s="2" t="s">
        <v>30</v>
      </c>
      <c r="D93" s="3">
        <v>45933</v>
      </c>
      <c r="E93" s="3">
        <v>45938</v>
      </c>
      <c r="F93" s="3">
        <v>45943</v>
      </c>
      <c r="G93" s="3">
        <v>45946</v>
      </c>
      <c r="H93" s="23" t="str">
        <f t="shared" si="1"/>
        <v>Delivered</v>
      </c>
      <c r="I93" s="2" t="s">
        <v>17</v>
      </c>
      <c r="J93" s="24" t="s">
        <v>1054</v>
      </c>
      <c r="K93" s="3">
        <v>45974</v>
      </c>
      <c r="L93" s="2">
        <v>5</v>
      </c>
      <c r="M93" s="2">
        <v>5</v>
      </c>
      <c r="N93" s="2">
        <v>3</v>
      </c>
      <c r="O93" s="36">
        <v>9</v>
      </c>
      <c r="P93" s="24" t="str" cm="1">
        <f t="array" ref="P93">_xlfn.IFS(O93&lt;=6,"Detractors",AND(O93&gt;=7,O93&lt;=8),"Passives",AND(O93&gt;8,O93&lt;=10),"Promoters",O93="Not Available","NA")</f>
        <v>Promoters</v>
      </c>
    </row>
    <row r="94" spans="1:16" ht="14.25" customHeight="1" x14ac:dyDescent="0.3">
      <c r="A94" s="2" t="s">
        <v>120</v>
      </c>
      <c r="B94" s="2" t="s">
        <v>15</v>
      </c>
      <c r="C94" s="2" t="s">
        <v>22</v>
      </c>
      <c r="D94" s="3">
        <v>45940</v>
      </c>
      <c r="H94" s="23" t="str">
        <f t="shared" si="1"/>
        <v>Not Delivered</v>
      </c>
      <c r="I94" s="2" t="s">
        <v>23</v>
      </c>
      <c r="J94" s="2" t="s">
        <v>101</v>
      </c>
      <c r="L94">
        <v>0</v>
      </c>
      <c r="M94">
        <v>0</v>
      </c>
      <c r="N94">
        <v>0</v>
      </c>
      <c r="O94" t="s">
        <v>1080</v>
      </c>
      <c r="P94" s="24" t="str" cm="1">
        <f t="array" ref="P94">_xlfn.IFS(O94&lt;=6,"Detractors",AND(O94&gt;=7,O94&lt;=8),"Passives",AND(O94&gt;8,O94&lt;=10),"Promoters",O94="Not Available","NA")</f>
        <v>NA</v>
      </c>
    </row>
    <row r="95" spans="1:16" ht="14.25" customHeight="1" x14ac:dyDescent="0.3">
      <c r="A95" s="2" t="s">
        <v>121</v>
      </c>
      <c r="B95" s="2" t="s">
        <v>19</v>
      </c>
      <c r="C95" s="2" t="s">
        <v>22</v>
      </c>
      <c r="D95" s="3">
        <v>45938</v>
      </c>
      <c r="H95" s="23" t="str">
        <f t="shared" si="1"/>
        <v>Not Delivered</v>
      </c>
      <c r="I95" s="2" t="s">
        <v>23</v>
      </c>
      <c r="J95" s="2" t="s">
        <v>63</v>
      </c>
      <c r="L95">
        <v>0</v>
      </c>
      <c r="M95">
        <v>0</v>
      </c>
      <c r="N95">
        <v>0</v>
      </c>
      <c r="O95" t="s">
        <v>1080</v>
      </c>
      <c r="P95" s="24" t="str" cm="1">
        <f t="array" ref="P95">_xlfn.IFS(O95&lt;=6,"Detractors",AND(O95&gt;=7,O95&lt;=8),"Passives",AND(O95&gt;8,O95&lt;=10),"Promoters",O95="Not Available","NA")</f>
        <v>NA</v>
      </c>
    </row>
    <row r="96" spans="1:16" ht="14.25" customHeight="1" x14ac:dyDescent="0.3">
      <c r="A96" s="2" t="s">
        <v>122</v>
      </c>
      <c r="B96" s="2" t="s">
        <v>32</v>
      </c>
      <c r="C96" s="2" t="s">
        <v>22</v>
      </c>
      <c r="D96" s="3">
        <v>45943</v>
      </c>
      <c r="H96" s="23" t="str">
        <f t="shared" si="1"/>
        <v>Not Delivered</v>
      </c>
      <c r="I96" s="2" t="s">
        <v>23</v>
      </c>
      <c r="J96" s="2" t="s">
        <v>26</v>
      </c>
      <c r="L96">
        <v>0</v>
      </c>
      <c r="M96">
        <v>0</v>
      </c>
      <c r="N96">
        <v>0</v>
      </c>
      <c r="O96" t="s">
        <v>1080</v>
      </c>
      <c r="P96" s="24" t="str" cm="1">
        <f t="array" ref="P96">_xlfn.IFS(O96&lt;=6,"Detractors",AND(O96&gt;=7,O96&lt;=8),"Passives",AND(O96&gt;8,O96&lt;=10),"Promoters",O96="Not Available","NA")</f>
        <v>NA</v>
      </c>
    </row>
    <row r="97" spans="1:16" ht="14.25" customHeight="1" x14ac:dyDescent="0.3">
      <c r="A97" s="2" t="s">
        <v>123</v>
      </c>
      <c r="B97" s="2" t="s">
        <v>15</v>
      </c>
      <c r="C97" s="2" t="s">
        <v>16</v>
      </c>
      <c r="D97" s="3">
        <v>45953</v>
      </c>
      <c r="E97" s="3">
        <v>45955</v>
      </c>
      <c r="F97" s="3">
        <v>45958</v>
      </c>
      <c r="G97" s="3">
        <v>45963</v>
      </c>
      <c r="H97" s="23" t="str">
        <f t="shared" si="1"/>
        <v>Delivered</v>
      </c>
      <c r="I97" s="2" t="s">
        <v>17</v>
      </c>
      <c r="J97" s="24" t="s">
        <v>1054</v>
      </c>
      <c r="K97" s="3">
        <v>45976</v>
      </c>
      <c r="L97" s="2">
        <v>2</v>
      </c>
      <c r="M97" s="2">
        <v>3</v>
      </c>
      <c r="N97" s="2">
        <v>5</v>
      </c>
      <c r="O97" s="36">
        <v>9</v>
      </c>
      <c r="P97" s="24" t="str" cm="1">
        <f t="array" ref="P97">_xlfn.IFS(O97&lt;=6,"Detractors",AND(O97&gt;=7,O97&lt;=8),"Passives",AND(O97&gt;8,O97&lt;=10),"Promoters",O97="Not Available","NA")</f>
        <v>Promoters</v>
      </c>
    </row>
    <row r="98" spans="1:16" ht="14.25" customHeight="1" x14ac:dyDescent="0.3">
      <c r="A98" s="2" t="s">
        <v>124</v>
      </c>
      <c r="B98" s="2" t="s">
        <v>19</v>
      </c>
      <c r="C98" s="2" t="s">
        <v>30</v>
      </c>
      <c r="D98" s="3">
        <v>45938</v>
      </c>
      <c r="E98" s="3">
        <v>45942</v>
      </c>
      <c r="F98" s="3">
        <v>45945</v>
      </c>
      <c r="G98" s="3">
        <v>45952</v>
      </c>
      <c r="H98" s="23" t="str">
        <f t="shared" si="1"/>
        <v>Delivered</v>
      </c>
      <c r="I98" s="2" t="s">
        <v>23</v>
      </c>
      <c r="J98" s="2" t="s">
        <v>63</v>
      </c>
      <c r="L98" s="2">
        <v>4</v>
      </c>
      <c r="M98" s="2">
        <v>3</v>
      </c>
      <c r="N98" s="2">
        <v>7</v>
      </c>
      <c r="O98" s="36" t="s">
        <v>1080</v>
      </c>
      <c r="P98" s="24" t="str" cm="1">
        <f t="array" ref="P98">_xlfn.IFS(O98&lt;=6,"Detractors",AND(O98&gt;=7,O98&lt;=8),"Passives",AND(O98&gt;8,O98&lt;=10),"Promoters",O98="Not Available","NA")</f>
        <v>NA</v>
      </c>
    </row>
    <row r="99" spans="1:16" ht="14.25" customHeight="1" x14ac:dyDescent="0.3">
      <c r="A99" s="2" t="s">
        <v>125</v>
      </c>
      <c r="B99" s="2" t="s">
        <v>19</v>
      </c>
      <c r="C99" s="2" t="s">
        <v>16</v>
      </c>
      <c r="D99" s="3">
        <v>45940</v>
      </c>
      <c r="E99" s="3">
        <v>45944</v>
      </c>
      <c r="F99" s="3">
        <v>45945</v>
      </c>
      <c r="G99" s="3">
        <v>45951</v>
      </c>
      <c r="H99" s="23" t="str">
        <f t="shared" si="1"/>
        <v>Delivered</v>
      </c>
      <c r="I99" s="2" t="s">
        <v>17</v>
      </c>
      <c r="J99" s="24" t="s">
        <v>1054</v>
      </c>
      <c r="K99" s="3">
        <v>45976</v>
      </c>
      <c r="L99" s="2">
        <v>4</v>
      </c>
      <c r="M99" s="2">
        <v>1</v>
      </c>
      <c r="N99" s="2">
        <v>6</v>
      </c>
      <c r="O99" s="36">
        <v>6</v>
      </c>
      <c r="P99" s="24" t="str" cm="1">
        <f t="array" ref="P99">_xlfn.IFS(O99&lt;=6,"Detractors",AND(O99&gt;=7,O99&lt;=8),"Passives",AND(O99&gt;8,O99&lt;=10),"Promoters",O99="Not Available","NA")</f>
        <v>Detractors</v>
      </c>
    </row>
    <row r="100" spans="1:16" ht="14.25" customHeight="1" x14ac:dyDescent="0.3">
      <c r="A100" s="2" t="s">
        <v>126</v>
      </c>
      <c r="B100" s="2" t="s">
        <v>21</v>
      </c>
      <c r="C100" s="2" t="s">
        <v>16</v>
      </c>
      <c r="D100" s="3">
        <v>45952</v>
      </c>
      <c r="E100" s="3">
        <v>45956</v>
      </c>
      <c r="F100" s="3">
        <v>45961</v>
      </c>
      <c r="G100" s="3">
        <v>45968</v>
      </c>
      <c r="H100" s="23" t="str">
        <f t="shared" si="1"/>
        <v>Delivered</v>
      </c>
      <c r="I100" s="2" t="s">
        <v>17</v>
      </c>
      <c r="J100" s="24" t="s">
        <v>1054</v>
      </c>
      <c r="K100" s="3">
        <v>45982</v>
      </c>
      <c r="L100" s="2">
        <v>4</v>
      </c>
      <c r="M100" s="2">
        <v>5</v>
      </c>
      <c r="N100" s="2">
        <v>7</v>
      </c>
      <c r="O100" s="36">
        <v>0</v>
      </c>
      <c r="P100" s="24" t="str" cm="1">
        <f t="array" ref="P100">_xlfn.IFS(O100&lt;=6,"Detractors",AND(O100&gt;=7,O100&lt;=8),"Passives",AND(O100&gt;8,O100&lt;=10),"Promoters",O100="Not Available","NA")</f>
        <v>Detractors</v>
      </c>
    </row>
    <row r="101" spans="1:16" ht="14.25" customHeight="1" x14ac:dyDescent="0.3">
      <c r="A101" s="2" t="s">
        <v>127</v>
      </c>
      <c r="B101" s="2" t="s">
        <v>15</v>
      </c>
      <c r="C101" s="2" t="s">
        <v>16</v>
      </c>
      <c r="D101" s="3">
        <v>45949</v>
      </c>
      <c r="E101" s="3">
        <v>45952</v>
      </c>
      <c r="F101" s="3">
        <v>45957</v>
      </c>
      <c r="G101" s="3">
        <v>45964</v>
      </c>
      <c r="H101" s="23" t="str">
        <f t="shared" si="1"/>
        <v>Delivered</v>
      </c>
      <c r="I101" s="2" t="s">
        <v>17</v>
      </c>
      <c r="J101" s="24" t="s">
        <v>1054</v>
      </c>
      <c r="K101" s="3">
        <v>45984</v>
      </c>
      <c r="L101" s="2">
        <v>3</v>
      </c>
      <c r="M101" s="2">
        <v>5</v>
      </c>
      <c r="N101" s="2">
        <v>7</v>
      </c>
      <c r="O101" s="36">
        <v>10</v>
      </c>
      <c r="P101" s="24" t="str" cm="1">
        <f t="array" ref="P101">_xlfn.IFS(O101&lt;=6,"Detractors",AND(O101&gt;=7,O101&lt;=8),"Passives",AND(O101&gt;8,O101&lt;=10),"Promoters",O101="Not Available","NA")</f>
        <v>Promoters</v>
      </c>
    </row>
    <row r="102" spans="1:16" ht="14.25" customHeight="1" x14ac:dyDescent="0.3">
      <c r="A102" s="42" t="s">
        <v>128</v>
      </c>
      <c r="B102" s="2" t="s">
        <v>15</v>
      </c>
      <c r="C102" s="2" t="s">
        <v>30</v>
      </c>
      <c r="D102" s="3">
        <v>45942</v>
      </c>
      <c r="E102" s="3">
        <v>45944</v>
      </c>
      <c r="F102" s="3">
        <v>45948</v>
      </c>
      <c r="G102" s="3">
        <v>45951</v>
      </c>
      <c r="H102" s="23" t="str">
        <f t="shared" si="1"/>
        <v>Delivered</v>
      </c>
      <c r="I102" s="2" t="s">
        <v>17</v>
      </c>
      <c r="J102" s="24" t="s">
        <v>1054</v>
      </c>
      <c r="K102" s="3">
        <v>45963</v>
      </c>
      <c r="L102" s="2">
        <v>2</v>
      </c>
      <c r="M102" s="2">
        <v>4</v>
      </c>
      <c r="N102" s="2">
        <v>3</v>
      </c>
      <c r="O102" s="36">
        <v>1</v>
      </c>
      <c r="P102" s="24" t="str" cm="1">
        <f t="array" ref="P102">_xlfn.IFS(O102&lt;=6,"Detractors",AND(O102&gt;=7,O102&lt;=8),"Passives",AND(O102&gt;8,O102&lt;=10),"Promoters",O102="Not Available","NA")</f>
        <v>Detractors</v>
      </c>
    </row>
    <row r="103" spans="1:16" ht="14.25" customHeight="1" x14ac:dyDescent="0.3">
      <c r="A103" s="2" t="s">
        <v>129</v>
      </c>
      <c r="B103" s="2" t="s">
        <v>32</v>
      </c>
      <c r="C103" s="2" t="s">
        <v>16</v>
      </c>
      <c r="D103" s="3">
        <v>45946</v>
      </c>
      <c r="E103" s="3">
        <v>45949</v>
      </c>
      <c r="F103" s="3">
        <v>45953</v>
      </c>
      <c r="G103" s="3">
        <v>45959</v>
      </c>
      <c r="H103" s="23" t="str">
        <f t="shared" si="1"/>
        <v>Delivered</v>
      </c>
      <c r="I103" s="2" t="s">
        <v>17</v>
      </c>
      <c r="J103" s="24" t="s">
        <v>1054</v>
      </c>
      <c r="K103" s="3">
        <v>45976</v>
      </c>
      <c r="L103" s="2">
        <v>3</v>
      </c>
      <c r="M103" s="2">
        <v>4</v>
      </c>
      <c r="N103" s="2">
        <v>6</v>
      </c>
      <c r="O103" s="36">
        <v>1</v>
      </c>
      <c r="P103" s="24" t="str" cm="1">
        <f t="array" ref="P103">_xlfn.IFS(O103&lt;=6,"Detractors",AND(O103&gt;=7,O103&lt;=8),"Passives",AND(O103&gt;8,O103&lt;=10),"Promoters",O103="Not Available","NA")</f>
        <v>Detractors</v>
      </c>
    </row>
    <row r="104" spans="1:16" ht="14.25" customHeight="1" x14ac:dyDescent="0.3">
      <c r="A104" s="2" t="s">
        <v>130</v>
      </c>
      <c r="B104" s="2" t="s">
        <v>21</v>
      </c>
      <c r="C104" s="2" t="s">
        <v>16</v>
      </c>
      <c r="D104" s="3">
        <v>45948</v>
      </c>
      <c r="E104" s="3">
        <v>45951</v>
      </c>
      <c r="F104" s="3">
        <v>45954</v>
      </c>
      <c r="G104" s="3">
        <v>45957</v>
      </c>
      <c r="H104" s="23" t="str">
        <f t="shared" si="1"/>
        <v>Delivered</v>
      </c>
      <c r="I104" s="2" t="s">
        <v>17</v>
      </c>
      <c r="J104" s="24" t="s">
        <v>1054</v>
      </c>
      <c r="K104" s="3">
        <v>45978</v>
      </c>
      <c r="L104" s="2">
        <v>3</v>
      </c>
      <c r="M104" s="2">
        <v>3</v>
      </c>
      <c r="N104" s="2">
        <v>3</v>
      </c>
      <c r="O104" s="36">
        <v>0</v>
      </c>
      <c r="P104" s="24" t="str" cm="1">
        <f t="array" ref="P104">_xlfn.IFS(O104&lt;=6,"Detractors",AND(O104&gt;=7,O104&lt;=8),"Passives",AND(O104&gt;8,O104&lt;=10),"Promoters",O104="Not Available","NA")</f>
        <v>Detractors</v>
      </c>
    </row>
    <row r="105" spans="1:16" ht="14.25" customHeight="1" x14ac:dyDescent="0.3">
      <c r="A105" s="2" t="s">
        <v>131</v>
      </c>
      <c r="B105" s="2" t="s">
        <v>21</v>
      </c>
      <c r="C105" s="2" t="s">
        <v>22</v>
      </c>
      <c r="D105" s="3">
        <v>45947</v>
      </c>
      <c r="H105" s="23" t="str">
        <f t="shared" si="1"/>
        <v>Not Delivered</v>
      </c>
      <c r="I105" s="2" t="s">
        <v>23</v>
      </c>
      <c r="J105" s="2" t="s">
        <v>101</v>
      </c>
      <c r="L105">
        <v>0</v>
      </c>
      <c r="M105">
        <v>0</v>
      </c>
      <c r="N105">
        <v>0</v>
      </c>
      <c r="O105" t="s">
        <v>1080</v>
      </c>
      <c r="P105" s="24" t="str" cm="1">
        <f t="array" ref="P105">_xlfn.IFS(O105&lt;=6,"Detractors",AND(O105&gt;=7,O105&lt;=8),"Passives",AND(O105&gt;8,O105&lt;=10),"Promoters",O105="Not Available","NA")</f>
        <v>NA</v>
      </c>
    </row>
    <row r="106" spans="1:16" ht="14.25" customHeight="1" x14ac:dyDescent="0.3">
      <c r="A106" s="2" t="s">
        <v>132</v>
      </c>
      <c r="B106" s="2" t="s">
        <v>21</v>
      </c>
      <c r="C106" s="2" t="s">
        <v>22</v>
      </c>
      <c r="D106" s="3">
        <v>45942</v>
      </c>
      <c r="H106" s="23" t="str">
        <f t="shared" si="1"/>
        <v>Not Delivered</v>
      </c>
      <c r="I106" s="2" t="s">
        <v>23</v>
      </c>
      <c r="J106" s="2" t="s">
        <v>101</v>
      </c>
      <c r="L106">
        <v>0</v>
      </c>
      <c r="M106">
        <v>0</v>
      </c>
      <c r="N106">
        <v>0</v>
      </c>
      <c r="O106" t="s">
        <v>1080</v>
      </c>
      <c r="P106" s="24" t="str" cm="1">
        <f t="array" ref="P106">_xlfn.IFS(O106&lt;=6,"Detractors",AND(O106&gt;=7,O106&lt;=8),"Passives",AND(O106&gt;8,O106&lt;=10),"Promoters",O106="Not Available","NA")</f>
        <v>NA</v>
      </c>
    </row>
    <row r="107" spans="1:16" ht="14.25" customHeight="1" x14ac:dyDescent="0.3">
      <c r="A107" s="2" t="s">
        <v>133</v>
      </c>
      <c r="B107" s="2" t="s">
        <v>21</v>
      </c>
      <c r="C107" s="2" t="s">
        <v>16</v>
      </c>
      <c r="D107" s="3">
        <v>45944</v>
      </c>
      <c r="E107" s="3">
        <v>45947</v>
      </c>
      <c r="F107" s="3">
        <v>45949</v>
      </c>
      <c r="G107" s="3">
        <v>45954</v>
      </c>
      <c r="H107" s="23" t="str">
        <f t="shared" si="1"/>
        <v>Delivered</v>
      </c>
      <c r="I107" s="2" t="s">
        <v>17</v>
      </c>
      <c r="J107" s="24" t="s">
        <v>1054</v>
      </c>
      <c r="K107" s="3">
        <v>45974</v>
      </c>
      <c r="L107" s="2">
        <v>3</v>
      </c>
      <c r="M107" s="2">
        <v>2</v>
      </c>
      <c r="N107" s="2">
        <v>5</v>
      </c>
      <c r="O107" s="36">
        <v>2</v>
      </c>
      <c r="P107" s="24" t="str" cm="1">
        <f t="array" ref="P107">_xlfn.IFS(O107&lt;=6,"Detractors",AND(O107&gt;=7,O107&lt;=8),"Passives",AND(O107&gt;8,O107&lt;=10),"Promoters",O107="Not Available","NA")</f>
        <v>Detractors</v>
      </c>
    </row>
    <row r="108" spans="1:16" ht="14.25" customHeight="1" x14ac:dyDescent="0.3">
      <c r="A108" s="2" t="s">
        <v>134</v>
      </c>
      <c r="B108" s="2" t="s">
        <v>15</v>
      </c>
      <c r="C108" s="2" t="s">
        <v>16</v>
      </c>
      <c r="D108" s="3">
        <v>45954</v>
      </c>
      <c r="E108" s="3">
        <v>45959</v>
      </c>
      <c r="F108" s="3">
        <v>45962</v>
      </c>
      <c r="G108" s="3">
        <v>45966</v>
      </c>
      <c r="H108" s="23" t="str">
        <f t="shared" si="1"/>
        <v>Delivered</v>
      </c>
      <c r="I108" s="2" t="s">
        <v>23</v>
      </c>
      <c r="J108" s="2" t="s">
        <v>24</v>
      </c>
      <c r="L108" s="2">
        <v>5</v>
      </c>
      <c r="M108" s="2">
        <v>3</v>
      </c>
      <c r="N108" s="2">
        <v>4</v>
      </c>
      <c r="O108" t="s">
        <v>1080</v>
      </c>
      <c r="P108" s="24" t="str" cm="1">
        <f t="array" ref="P108">_xlfn.IFS(O108&lt;=6,"Detractors",AND(O108&gt;=7,O108&lt;=8),"Passives",AND(O108&gt;8,O108&lt;=10),"Promoters",O108="Not Available","NA")</f>
        <v>NA</v>
      </c>
    </row>
    <row r="109" spans="1:16" ht="14.25" customHeight="1" x14ac:dyDescent="0.3">
      <c r="A109" s="2" t="s">
        <v>135</v>
      </c>
      <c r="B109" s="2" t="s">
        <v>15</v>
      </c>
      <c r="C109" s="2" t="s">
        <v>16</v>
      </c>
      <c r="D109" s="3">
        <v>45948</v>
      </c>
      <c r="E109" s="3">
        <v>45953</v>
      </c>
      <c r="F109" s="3">
        <v>45954</v>
      </c>
      <c r="G109" s="3">
        <v>45957</v>
      </c>
      <c r="H109" s="23" t="str">
        <f t="shared" si="1"/>
        <v>Delivered</v>
      </c>
      <c r="I109" s="2" t="s">
        <v>17</v>
      </c>
      <c r="J109" s="24" t="s">
        <v>1054</v>
      </c>
      <c r="K109" s="3">
        <v>45972</v>
      </c>
      <c r="L109" s="2">
        <v>5</v>
      </c>
      <c r="M109" s="2">
        <v>1</v>
      </c>
      <c r="N109" s="2">
        <v>3</v>
      </c>
      <c r="O109" s="36">
        <v>10</v>
      </c>
      <c r="P109" s="24" t="str" cm="1">
        <f t="array" ref="P109">_xlfn.IFS(O109&lt;=6,"Detractors",AND(O109&gt;=7,O109&lt;=8),"Passives",AND(O109&gt;8,O109&lt;=10),"Promoters",O109="Not Available","NA")</f>
        <v>Promoters</v>
      </c>
    </row>
    <row r="110" spans="1:16" ht="14.25" customHeight="1" x14ac:dyDescent="0.3">
      <c r="A110" s="42" t="s">
        <v>136</v>
      </c>
      <c r="B110" s="2" t="s">
        <v>19</v>
      </c>
      <c r="C110" s="2" t="s">
        <v>30</v>
      </c>
      <c r="D110" s="3">
        <v>45941</v>
      </c>
      <c r="E110" s="3">
        <v>45942</v>
      </c>
      <c r="F110" s="3">
        <v>45945</v>
      </c>
      <c r="G110" s="3">
        <v>45948</v>
      </c>
      <c r="H110" s="23" t="str">
        <f t="shared" si="1"/>
        <v>Delivered</v>
      </c>
      <c r="I110" s="2" t="s">
        <v>17</v>
      </c>
      <c r="J110" s="24" t="s">
        <v>1054</v>
      </c>
      <c r="K110" s="3">
        <v>45978</v>
      </c>
      <c r="L110" s="2">
        <v>1</v>
      </c>
      <c r="M110" s="2">
        <v>3</v>
      </c>
      <c r="N110" s="2">
        <v>3</v>
      </c>
      <c r="O110" s="36">
        <v>4</v>
      </c>
      <c r="P110" s="24" t="str" cm="1">
        <f t="array" ref="P110">_xlfn.IFS(O110&lt;=6,"Detractors",AND(O110&gt;=7,O110&lt;=8),"Passives",AND(O110&gt;8,O110&lt;=10),"Promoters",O110="Not Available","NA")</f>
        <v>Detractors</v>
      </c>
    </row>
    <row r="111" spans="1:16" ht="14.25" customHeight="1" x14ac:dyDescent="0.3">
      <c r="A111" s="2" t="s">
        <v>137</v>
      </c>
      <c r="B111" s="2" t="s">
        <v>19</v>
      </c>
      <c r="C111" s="2" t="s">
        <v>22</v>
      </c>
      <c r="D111" s="3">
        <v>45942</v>
      </c>
      <c r="H111" s="23" t="str">
        <f t="shared" si="1"/>
        <v>Not Delivered</v>
      </c>
      <c r="I111" s="2" t="s">
        <v>23</v>
      </c>
      <c r="J111" s="2" t="s">
        <v>101</v>
      </c>
      <c r="L111">
        <v>0</v>
      </c>
      <c r="M111">
        <v>0</v>
      </c>
      <c r="N111">
        <v>0</v>
      </c>
      <c r="O111" t="s">
        <v>1080</v>
      </c>
      <c r="P111" s="24" t="str" cm="1">
        <f t="array" ref="P111">_xlfn.IFS(O111&lt;=6,"Detractors",AND(O111&gt;=7,O111&lt;=8),"Passives",AND(O111&gt;8,O111&lt;=10),"Promoters",O111="Not Available","NA")</f>
        <v>NA</v>
      </c>
    </row>
    <row r="112" spans="1:16" ht="14.25" customHeight="1" x14ac:dyDescent="0.3">
      <c r="A112" s="2" t="s">
        <v>138</v>
      </c>
      <c r="B112" s="2" t="s">
        <v>21</v>
      </c>
      <c r="C112" s="2" t="s">
        <v>22</v>
      </c>
      <c r="D112" s="3">
        <v>45953</v>
      </c>
      <c r="H112" s="23" t="str">
        <f t="shared" si="1"/>
        <v>Not Delivered</v>
      </c>
      <c r="I112" s="2" t="s">
        <v>23</v>
      </c>
      <c r="J112" s="2" t="s">
        <v>63</v>
      </c>
      <c r="L112">
        <v>0</v>
      </c>
      <c r="M112">
        <v>0</v>
      </c>
      <c r="N112">
        <v>0</v>
      </c>
      <c r="O112" t="s">
        <v>1080</v>
      </c>
      <c r="P112" s="24" t="str" cm="1">
        <f t="array" ref="P112">_xlfn.IFS(O112&lt;=6,"Detractors",AND(O112&gt;=7,O112&lt;=8),"Passives",AND(O112&gt;8,O112&lt;=10),"Promoters",O112="Not Available","NA")</f>
        <v>NA</v>
      </c>
    </row>
    <row r="113" spans="1:16" ht="14.25" customHeight="1" x14ac:dyDescent="0.3">
      <c r="A113" s="2" t="s">
        <v>139</v>
      </c>
      <c r="B113" s="2" t="s">
        <v>21</v>
      </c>
      <c r="C113" s="2" t="s">
        <v>16</v>
      </c>
      <c r="D113" s="3">
        <v>45945</v>
      </c>
      <c r="E113" s="3">
        <v>45946</v>
      </c>
      <c r="F113" s="3">
        <v>45947</v>
      </c>
      <c r="G113" s="3">
        <v>45951</v>
      </c>
      <c r="H113" s="23" t="str">
        <f t="shared" si="1"/>
        <v>Delivered</v>
      </c>
      <c r="I113" s="2" t="s">
        <v>17</v>
      </c>
      <c r="J113" s="24" t="s">
        <v>1054</v>
      </c>
      <c r="K113" s="3">
        <v>45963</v>
      </c>
      <c r="L113" s="2">
        <v>1</v>
      </c>
      <c r="M113" s="2">
        <v>1</v>
      </c>
      <c r="N113" s="2">
        <v>4</v>
      </c>
      <c r="O113" s="36">
        <v>2</v>
      </c>
      <c r="P113" s="24" t="str" cm="1">
        <f t="array" ref="P113">_xlfn.IFS(O113&lt;=6,"Detractors",AND(O113&gt;=7,O113&lt;=8),"Passives",AND(O113&gt;8,O113&lt;=10),"Promoters",O113="Not Available","NA")</f>
        <v>Detractors</v>
      </c>
    </row>
    <row r="114" spans="1:16" ht="14.25" customHeight="1" x14ac:dyDescent="0.3">
      <c r="A114" s="2" t="s">
        <v>140</v>
      </c>
      <c r="B114" s="2" t="s">
        <v>21</v>
      </c>
      <c r="C114" s="2" t="s">
        <v>16</v>
      </c>
      <c r="D114" s="3">
        <v>45939</v>
      </c>
      <c r="E114" s="3">
        <v>45941</v>
      </c>
      <c r="F114" s="3">
        <v>45944</v>
      </c>
      <c r="G114" s="3">
        <v>45949</v>
      </c>
      <c r="H114" s="23" t="str">
        <f t="shared" si="1"/>
        <v>Delivered</v>
      </c>
      <c r="I114" s="2" t="s">
        <v>23</v>
      </c>
      <c r="J114" s="2" t="s">
        <v>33</v>
      </c>
      <c r="L114" s="2">
        <v>2</v>
      </c>
      <c r="M114" s="2">
        <v>3</v>
      </c>
      <c r="N114" s="2">
        <v>5</v>
      </c>
      <c r="O114" t="s">
        <v>1080</v>
      </c>
      <c r="P114" s="24" t="str" cm="1">
        <f t="array" ref="P114">_xlfn.IFS(O114&lt;=6,"Detractors",AND(O114&gt;=7,O114&lt;=8),"Passives",AND(O114&gt;8,O114&lt;=10),"Promoters",O114="Not Available","NA")</f>
        <v>NA</v>
      </c>
    </row>
    <row r="115" spans="1:16" ht="14.25" customHeight="1" x14ac:dyDescent="0.3">
      <c r="A115" s="42" t="s">
        <v>141</v>
      </c>
      <c r="B115" s="2" t="s">
        <v>19</v>
      </c>
      <c r="C115" s="2" t="s">
        <v>30</v>
      </c>
      <c r="D115" s="3">
        <v>45940</v>
      </c>
      <c r="E115" s="3">
        <v>45942</v>
      </c>
      <c r="F115" s="3">
        <v>45946</v>
      </c>
      <c r="G115" s="3">
        <v>45952</v>
      </c>
      <c r="H115" s="23" t="str">
        <f t="shared" si="1"/>
        <v>Delivered</v>
      </c>
      <c r="I115" s="2" t="s">
        <v>17</v>
      </c>
      <c r="J115" s="24" t="s">
        <v>1054</v>
      </c>
      <c r="K115" s="3">
        <v>45982</v>
      </c>
      <c r="L115" s="2">
        <v>2</v>
      </c>
      <c r="M115" s="2">
        <v>4</v>
      </c>
      <c r="N115" s="2">
        <v>6</v>
      </c>
      <c r="O115" s="36">
        <v>6</v>
      </c>
      <c r="P115" s="24" t="str" cm="1">
        <f t="array" ref="P115">_xlfn.IFS(O115&lt;=6,"Detractors",AND(O115&gt;=7,O115&lt;=8),"Passives",AND(O115&gt;8,O115&lt;=10),"Promoters",O115="Not Available","NA")</f>
        <v>Detractors</v>
      </c>
    </row>
    <row r="116" spans="1:16" ht="14.25" customHeight="1" x14ac:dyDescent="0.3">
      <c r="A116" s="2" t="s">
        <v>142</v>
      </c>
      <c r="B116" s="2" t="s">
        <v>32</v>
      </c>
      <c r="C116" s="2" t="s">
        <v>16</v>
      </c>
      <c r="D116" s="3">
        <v>45939</v>
      </c>
      <c r="E116" s="3">
        <v>45944</v>
      </c>
      <c r="F116" s="3">
        <v>45947</v>
      </c>
      <c r="G116" s="3">
        <v>45949</v>
      </c>
      <c r="H116" s="23" t="str">
        <f t="shared" si="1"/>
        <v>Delivered</v>
      </c>
      <c r="I116" s="2" t="s">
        <v>17</v>
      </c>
      <c r="J116" s="24" t="s">
        <v>1054</v>
      </c>
      <c r="K116" s="3">
        <v>45969</v>
      </c>
      <c r="L116" s="2">
        <v>5</v>
      </c>
      <c r="M116" s="2">
        <v>3</v>
      </c>
      <c r="N116" s="2">
        <v>2</v>
      </c>
      <c r="O116" s="36">
        <v>10</v>
      </c>
      <c r="P116" s="24" t="str" cm="1">
        <f t="array" ref="P116">_xlfn.IFS(O116&lt;=6,"Detractors",AND(O116&gt;=7,O116&lt;=8),"Passives",AND(O116&gt;8,O116&lt;=10),"Promoters",O116="Not Available","NA")</f>
        <v>Promoters</v>
      </c>
    </row>
    <row r="117" spans="1:16" ht="14.25" customHeight="1" x14ac:dyDescent="0.3">
      <c r="A117" s="42" t="s">
        <v>143</v>
      </c>
      <c r="B117" s="2" t="s">
        <v>32</v>
      </c>
      <c r="C117" s="2" t="s">
        <v>30</v>
      </c>
      <c r="D117" s="3">
        <v>45938</v>
      </c>
      <c r="E117" s="3">
        <v>45939</v>
      </c>
      <c r="F117" s="3">
        <v>45943</v>
      </c>
      <c r="G117" s="3">
        <v>45947</v>
      </c>
      <c r="H117" s="23" t="str">
        <f t="shared" si="1"/>
        <v>Delivered</v>
      </c>
      <c r="I117" s="2" t="s">
        <v>17</v>
      </c>
      <c r="J117" s="24" t="s">
        <v>1054</v>
      </c>
      <c r="K117" s="3">
        <v>45971</v>
      </c>
      <c r="L117" s="2">
        <v>1</v>
      </c>
      <c r="M117" s="2">
        <v>4</v>
      </c>
      <c r="N117" s="2">
        <v>4</v>
      </c>
      <c r="O117" s="36">
        <v>8</v>
      </c>
      <c r="P117" s="24" t="str" cm="1">
        <f t="array" ref="P117">_xlfn.IFS(O117&lt;=6,"Detractors",AND(O117&gt;=7,O117&lt;=8),"Passives",AND(O117&gt;8,O117&lt;=10),"Promoters",O117="Not Available","NA")</f>
        <v>Passives</v>
      </c>
    </row>
    <row r="118" spans="1:16" ht="14.25" customHeight="1" x14ac:dyDescent="0.3">
      <c r="A118" s="2" t="s">
        <v>144</v>
      </c>
      <c r="B118" s="2" t="s">
        <v>19</v>
      </c>
      <c r="C118" s="2" t="s">
        <v>22</v>
      </c>
      <c r="D118" s="3">
        <v>45934</v>
      </c>
      <c r="H118" s="23" t="str">
        <f t="shared" si="1"/>
        <v>Not Delivered</v>
      </c>
      <c r="I118" s="2" t="s">
        <v>23</v>
      </c>
      <c r="J118" s="2" t="s">
        <v>33</v>
      </c>
      <c r="L118">
        <v>0</v>
      </c>
      <c r="M118">
        <v>0</v>
      </c>
      <c r="N118">
        <v>0</v>
      </c>
      <c r="O118" t="s">
        <v>1080</v>
      </c>
      <c r="P118" s="24" t="str" cm="1">
        <f t="array" ref="P118">_xlfn.IFS(O118&lt;=6,"Detractors",AND(O118&gt;=7,O118&lt;=8),"Passives",AND(O118&gt;8,O118&lt;=10),"Promoters",O118="Not Available","NA")</f>
        <v>NA</v>
      </c>
    </row>
    <row r="119" spans="1:16" ht="14.25" customHeight="1" x14ac:dyDescent="0.3">
      <c r="A119" s="42" t="s">
        <v>145</v>
      </c>
      <c r="B119" s="2" t="s">
        <v>19</v>
      </c>
      <c r="C119" s="2" t="s">
        <v>30</v>
      </c>
      <c r="D119" s="3">
        <v>45954</v>
      </c>
      <c r="E119" s="3">
        <v>45955</v>
      </c>
      <c r="F119" s="3">
        <v>45957</v>
      </c>
      <c r="G119" s="3">
        <v>45959</v>
      </c>
      <c r="H119" s="23" t="str">
        <f t="shared" si="1"/>
        <v>Delivered</v>
      </c>
      <c r="I119" s="2" t="s">
        <v>17</v>
      </c>
      <c r="J119" s="24" t="s">
        <v>1054</v>
      </c>
      <c r="K119" s="3">
        <v>45969</v>
      </c>
      <c r="L119" s="2">
        <v>1</v>
      </c>
      <c r="M119" s="2">
        <v>2</v>
      </c>
      <c r="N119" s="2">
        <v>2</v>
      </c>
      <c r="O119" s="36">
        <v>1</v>
      </c>
      <c r="P119" s="24" t="str" cm="1">
        <f t="array" ref="P119">_xlfn.IFS(O119&lt;=6,"Detractors",AND(O119&gt;=7,O119&lt;=8),"Passives",AND(O119&gt;8,O119&lt;=10),"Promoters",O119="Not Available","NA")</f>
        <v>Detractors</v>
      </c>
    </row>
    <row r="120" spans="1:16" ht="14.25" customHeight="1" x14ac:dyDescent="0.3">
      <c r="A120" s="2" t="s">
        <v>146</v>
      </c>
      <c r="B120" s="2" t="s">
        <v>19</v>
      </c>
      <c r="C120" s="2" t="s">
        <v>16</v>
      </c>
      <c r="D120" s="3">
        <v>45937</v>
      </c>
      <c r="E120" s="3">
        <v>45940</v>
      </c>
      <c r="F120" s="3">
        <v>45942</v>
      </c>
      <c r="G120" s="3">
        <v>45947</v>
      </c>
      <c r="H120" s="23" t="str">
        <f t="shared" si="1"/>
        <v>Delivered</v>
      </c>
      <c r="I120" s="2" t="s">
        <v>17</v>
      </c>
      <c r="J120" s="24" t="s">
        <v>1054</v>
      </c>
      <c r="K120" s="3">
        <v>45965</v>
      </c>
      <c r="L120" s="2">
        <v>3</v>
      </c>
      <c r="M120" s="2">
        <v>2</v>
      </c>
      <c r="N120" s="2">
        <v>5</v>
      </c>
      <c r="O120" s="36">
        <v>5</v>
      </c>
      <c r="P120" s="24" t="str" cm="1">
        <f t="array" ref="P120">_xlfn.IFS(O120&lt;=6,"Detractors",AND(O120&gt;=7,O120&lt;=8),"Passives",AND(O120&gt;8,O120&lt;=10),"Promoters",O120="Not Available","NA")</f>
        <v>Detractors</v>
      </c>
    </row>
    <row r="121" spans="1:16" ht="14.25" customHeight="1" x14ac:dyDescent="0.3">
      <c r="A121" s="2" t="s">
        <v>147</v>
      </c>
      <c r="B121" s="2" t="s">
        <v>19</v>
      </c>
      <c r="C121" s="2" t="s">
        <v>22</v>
      </c>
      <c r="D121" s="3">
        <v>45941</v>
      </c>
      <c r="H121" s="23" t="str">
        <f t="shared" si="1"/>
        <v>Not Delivered</v>
      </c>
      <c r="I121" s="2" t="s">
        <v>23</v>
      </c>
      <c r="J121" s="2" t="s">
        <v>24</v>
      </c>
      <c r="L121">
        <v>0</v>
      </c>
      <c r="M121">
        <v>0</v>
      </c>
      <c r="N121">
        <v>0</v>
      </c>
      <c r="O121" t="s">
        <v>1080</v>
      </c>
      <c r="P121" s="24" t="str" cm="1">
        <f t="array" ref="P121">_xlfn.IFS(O121&lt;=6,"Detractors",AND(O121&gt;=7,O121&lt;=8),"Passives",AND(O121&gt;8,O121&lt;=10),"Promoters",O121="Not Available","NA")</f>
        <v>NA</v>
      </c>
    </row>
    <row r="122" spans="1:16" ht="14.25" customHeight="1" x14ac:dyDescent="0.3">
      <c r="A122" s="2" t="s">
        <v>148</v>
      </c>
      <c r="B122" s="2" t="s">
        <v>19</v>
      </c>
      <c r="C122" s="2" t="s">
        <v>16</v>
      </c>
      <c r="D122" s="3">
        <v>45934</v>
      </c>
      <c r="E122" s="3">
        <v>45938</v>
      </c>
      <c r="F122" s="3">
        <v>45943</v>
      </c>
      <c r="G122" s="3">
        <v>45946</v>
      </c>
      <c r="H122" s="23" t="str">
        <f t="shared" si="1"/>
        <v>Delivered</v>
      </c>
      <c r="I122" s="2" t="s">
        <v>17</v>
      </c>
      <c r="J122" s="24" t="s">
        <v>1054</v>
      </c>
      <c r="K122" s="3">
        <v>45962</v>
      </c>
      <c r="L122" s="2">
        <v>4</v>
      </c>
      <c r="M122" s="2">
        <v>5</v>
      </c>
      <c r="N122" s="2">
        <v>3</v>
      </c>
      <c r="O122" s="36">
        <v>1</v>
      </c>
      <c r="P122" s="24" t="str" cm="1">
        <f t="array" ref="P122">_xlfn.IFS(O122&lt;=6,"Detractors",AND(O122&gt;=7,O122&lt;=8),"Passives",AND(O122&gt;8,O122&lt;=10),"Promoters",O122="Not Available","NA")</f>
        <v>Detractors</v>
      </c>
    </row>
    <row r="123" spans="1:16" ht="14.25" customHeight="1" x14ac:dyDescent="0.3">
      <c r="A123" s="42" t="s">
        <v>149</v>
      </c>
      <c r="B123" s="2" t="s">
        <v>19</v>
      </c>
      <c r="C123" s="2" t="s">
        <v>30</v>
      </c>
      <c r="D123" s="3">
        <v>45954</v>
      </c>
      <c r="E123" s="3">
        <v>45958</v>
      </c>
      <c r="F123" s="3">
        <v>45961</v>
      </c>
      <c r="G123" s="3">
        <v>45964</v>
      </c>
      <c r="H123" s="23" t="str">
        <f t="shared" si="1"/>
        <v>Delivered</v>
      </c>
      <c r="I123" s="2" t="s">
        <v>17</v>
      </c>
      <c r="J123" s="24" t="s">
        <v>1054</v>
      </c>
      <c r="K123" s="3">
        <v>45981</v>
      </c>
      <c r="L123" s="2">
        <v>4</v>
      </c>
      <c r="M123" s="2">
        <v>3</v>
      </c>
      <c r="N123" s="2">
        <v>3</v>
      </c>
      <c r="O123" s="36">
        <v>2</v>
      </c>
      <c r="P123" s="24" t="str" cm="1">
        <f t="array" ref="P123">_xlfn.IFS(O123&lt;=6,"Detractors",AND(O123&gt;=7,O123&lt;=8),"Passives",AND(O123&gt;8,O123&lt;=10),"Promoters",O123="Not Available","NA")</f>
        <v>Detractors</v>
      </c>
    </row>
    <row r="124" spans="1:16" ht="14.25" customHeight="1" x14ac:dyDescent="0.3">
      <c r="A124" s="42" t="s">
        <v>150</v>
      </c>
      <c r="B124" s="2" t="s">
        <v>21</v>
      </c>
      <c r="C124" s="2" t="s">
        <v>30</v>
      </c>
      <c r="D124" s="3">
        <v>45948</v>
      </c>
      <c r="E124" s="3">
        <v>45952</v>
      </c>
      <c r="F124" s="3">
        <v>45957</v>
      </c>
      <c r="G124" s="3">
        <v>45962</v>
      </c>
      <c r="H124" s="23" t="str">
        <f t="shared" si="1"/>
        <v>Delivered</v>
      </c>
      <c r="I124" s="2" t="s">
        <v>17</v>
      </c>
      <c r="J124" s="24" t="s">
        <v>1054</v>
      </c>
      <c r="K124" s="3">
        <v>45974</v>
      </c>
      <c r="L124" s="2">
        <v>4</v>
      </c>
      <c r="M124" s="2">
        <v>5</v>
      </c>
      <c r="N124" s="2">
        <v>5</v>
      </c>
      <c r="O124" s="36">
        <v>6</v>
      </c>
      <c r="P124" s="24" t="str" cm="1">
        <f t="array" ref="P124">_xlfn.IFS(O124&lt;=6,"Detractors",AND(O124&gt;=7,O124&lt;=8),"Passives",AND(O124&gt;8,O124&lt;=10),"Promoters",O124="Not Available","NA")</f>
        <v>Detractors</v>
      </c>
    </row>
    <row r="125" spans="1:16" ht="14.25" customHeight="1" x14ac:dyDescent="0.3">
      <c r="A125" s="42" t="s">
        <v>151</v>
      </c>
      <c r="B125" s="2" t="s">
        <v>21</v>
      </c>
      <c r="C125" s="2" t="s">
        <v>30</v>
      </c>
      <c r="D125" s="3">
        <v>45961</v>
      </c>
      <c r="E125" s="3">
        <v>45966</v>
      </c>
      <c r="F125" s="3">
        <v>45969</v>
      </c>
      <c r="G125" s="3">
        <v>45975</v>
      </c>
      <c r="H125" s="23" t="str">
        <f t="shared" si="1"/>
        <v>Delivered</v>
      </c>
      <c r="I125" s="2" t="s">
        <v>17</v>
      </c>
      <c r="J125" s="24" t="s">
        <v>1054</v>
      </c>
      <c r="K125" s="3">
        <v>45996</v>
      </c>
      <c r="L125" s="2">
        <v>5</v>
      </c>
      <c r="M125" s="2">
        <v>3</v>
      </c>
      <c r="N125" s="2">
        <v>6</v>
      </c>
      <c r="O125" s="36">
        <v>5</v>
      </c>
      <c r="P125" s="24" t="str" cm="1">
        <f t="array" ref="P125">_xlfn.IFS(O125&lt;=6,"Detractors",AND(O125&gt;=7,O125&lt;=8),"Passives",AND(O125&gt;8,O125&lt;=10),"Promoters",O125="Not Available","NA")</f>
        <v>Detractors</v>
      </c>
    </row>
    <row r="126" spans="1:16" ht="14.25" customHeight="1" x14ac:dyDescent="0.3">
      <c r="A126" s="2" t="s">
        <v>152</v>
      </c>
      <c r="B126" s="2" t="s">
        <v>21</v>
      </c>
      <c r="C126" s="2" t="s">
        <v>16</v>
      </c>
      <c r="D126" s="3">
        <v>45955</v>
      </c>
      <c r="E126" s="3">
        <v>45959</v>
      </c>
      <c r="F126" s="3">
        <v>45961</v>
      </c>
      <c r="G126" s="3">
        <v>45967</v>
      </c>
      <c r="H126" s="23" t="str">
        <f t="shared" si="1"/>
        <v>Delivered</v>
      </c>
      <c r="I126" s="2" t="s">
        <v>17</v>
      </c>
      <c r="J126" s="24" t="s">
        <v>1054</v>
      </c>
      <c r="K126" s="3">
        <v>45985</v>
      </c>
      <c r="L126" s="2">
        <v>4</v>
      </c>
      <c r="M126" s="2">
        <v>2</v>
      </c>
      <c r="N126" s="2">
        <v>6</v>
      </c>
      <c r="O126" s="36">
        <v>4</v>
      </c>
      <c r="P126" s="24" t="str" cm="1">
        <f t="array" ref="P126">_xlfn.IFS(O126&lt;=6,"Detractors",AND(O126&gt;=7,O126&lt;=8),"Passives",AND(O126&gt;8,O126&lt;=10),"Promoters",O126="Not Available","NA")</f>
        <v>Detractors</v>
      </c>
    </row>
    <row r="127" spans="1:16" ht="14.25" customHeight="1" x14ac:dyDescent="0.3">
      <c r="A127" s="42" t="s">
        <v>153</v>
      </c>
      <c r="B127" s="2" t="s">
        <v>21</v>
      </c>
      <c r="C127" s="2" t="s">
        <v>30</v>
      </c>
      <c r="D127" s="3">
        <v>45953</v>
      </c>
      <c r="E127" s="3">
        <v>45957</v>
      </c>
      <c r="F127" s="3">
        <v>45958</v>
      </c>
      <c r="G127" s="3">
        <v>45965</v>
      </c>
      <c r="H127" s="23" t="str">
        <f t="shared" si="1"/>
        <v>Delivered</v>
      </c>
      <c r="I127" s="2" t="s">
        <v>17</v>
      </c>
      <c r="J127" s="24" t="s">
        <v>1054</v>
      </c>
      <c r="K127" s="3">
        <v>45978</v>
      </c>
      <c r="L127" s="2">
        <v>4</v>
      </c>
      <c r="M127" s="2">
        <v>1</v>
      </c>
      <c r="N127" s="2">
        <v>7</v>
      </c>
      <c r="O127" s="36">
        <v>0</v>
      </c>
      <c r="P127" s="24" t="str" cm="1">
        <f t="array" ref="P127">_xlfn.IFS(O127&lt;=6,"Detractors",AND(O127&gt;=7,O127&lt;=8),"Passives",AND(O127&gt;8,O127&lt;=10),"Promoters",O127="Not Available","NA")</f>
        <v>Detractors</v>
      </c>
    </row>
    <row r="128" spans="1:16" ht="14.25" customHeight="1" x14ac:dyDescent="0.3">
      <c r="A128" s="2" t="s">
        <v>154</v>
      </c>
      <c r="B128" s="2" t="s">
        <v>19</v>
      </c>
      <c r="C128" s="2" t="s">
        <v>16</v>
      </c>
      <c r="D128" s="3">
        <v>45936</v>
      </c>
      <c r="E128" s="3">
        <v>45939</v>
      </c>
      <c r="F128" s="3">
        <v>45944</v>
      </c>
      <c r="G128" s="3">
        <v>45949</v>
      </c>
      <c r="H128" s="23" t="str">
        <f t="shared" si="1"/>
        <v>Delivered</v>
      </c>
      <c r="I128" s="2" t="s">
        <v>17</v>
      </c>
      <c r="J128" s="24" t="s">
        <v>1054</v>
      </c>
      <c r="K128" s="3">
        <v>45959</v>
      </c>
      <c r="L128" s="2">
        <v>3</v>
      </c>
      <c r="M128" s="2">
        <v>5</v>
      </c>
      <c r="N128" s="2">
        <v>5</v>
      </c>
      <c r="O128" s="36">
        <v>4</v>
      </c>
      <c r="P128" s="24" t="str" cm="1">
        <f t="array" ref="P128">_xlfn.IFS(O128&lt;=6,"Detractors",AND(O128&gt;=7,O128&lt;=8),"Passives",AND(O128&gt;8,O128&lt;=10),"Promoters",O128="Not Available","NA")</f>
        <v>Detractors</v>
      </c>
    </row>
    <row r="129" spans="1:16" ht="14.25" customHeight="1" x14ac:dyDescent="0.3">
      <c r="A129" s="2" t="s">
        <v>155</v>
      </c>
      <c r="B129" s="2" t="s">
        <v>32</v>
      </c>
      <c r="C129" s="2" t="s">
        <v>22</v>
      </c>
      <c r="D129" s="3">
        <v>45937</v>
      </c>
      <c r="H129" s="23" t="str">
        <f t="shared" si="1"/>
        <v>Not Delivered</v>
      </c>
      <c r="I129" s="2" t="s">
        <v>23</v>
      </c>
      <c r="J129" s="2" t="s">
        <v>63</v>
      </c>
      <c r="L129">
        <v>0</v>
      </c>
      <c r="M129">
        <v>0</v>
      </c>
      <c r="N129">
        <v>0</v>
      </c>
      <c r="O129" t="s">
        <v>1080</v>
      </c>
      <c r="P129" s="24" t="str" cm="1">
        <f t="array" ref="P129">_xlfn.IFS(O129&lt;=6,"Detractors",AND(O129&gt;=7,O129&lt;=8),"Passives",AND(O129&gt;8,O129&lt;=10),"Promoters",O129="Not Available","NA")</f>
        <v>NA</v>
      </c>
    </row>
    <row r="130" spans="1:16" ht="14.25" customHeight="1" x14ac:dyDescent="0.3">
      <c r="A130" s="42" t="s">
        <v>156</v>
      </c>
      <c r="B130" s="2" t="s">
        <v>15</v>
      </c>
      <c r="C130" s="2" t="s">
        <v>30</v>
      </c>
      <c r="D130" s="3">
        <v>45937</v>
      </c>
      <c r="E130" s="3">
        <v>45939</v>
      </c>
      <c r="F130" s="3">
        <v>45944</v>
      </c>
      <c r="G130" s="3">
        <v>45949</v>
      </c>
      <c r="H130" s="23" t="str">
        <f t="shared" si="1"/>
        <v>Delivered</v>
      </c>
      <c r="I130" s="2" t="s">
        <v>17</v>
      </c>
      <c r="J130" s="24" t="s">
        <v>1054</v>
      </c>
      <c r="K130" s="3">
        <v>45960</v>
      </c>
      <c r="L130" s="2">
        <v>2</v>
      </c>
      <c r="M130" s="2">
        <v>5</v>
      </c>
      <c r="N130" s="2">
        <v>5</v>
      </c>
      <c r="O130" s="36">
        <v>4</v>
      </c>
      <c r="P130" s="24" t="str" cm="1">
        <f t="array" ref="P130">_xlfn.IFS(O130&lt;=6,"Detractors",AND(O130&gt;=7,O130&lt;=8),"Passives",AND(O130&gt;8,O130&lt;=10),"Promoters",O130="Not Available","NA")</f>
        <v>Detractors</v>
      </c>
    </row>
    <row r="131" spans="1:16" ht="14.25" customHeight="1" x14ac:dyDescent="0.3">
      <c r="A131" s="2" t="s">
        <v>157</v>
      </c>
      <c r="B131" s="2" t="s">
        <v>19</v>
      </c>
      <c r="C131" s="2" t="s">
        <v>22</v>
      </c>
      <c r="D131" s="3">
        <v>45954</v>
      </c>
      <c r="H131" s="23" t="str">
        <f t="shared" ref="H131:H194" si="2">IF(G131="", "Not Delivered", "Delivered")</f>
        <v>Not Delivered</v>
      </c>
      <c r="I131" s="2" t="s">
        <v>23</v>
      </c>
      <c r="J131" s="2" t="s">
        <v>63</v>
      </c>
      <c r="L131">
        <v>0</v>
      </c>
      <c r="M131">
        <v>0</v>
      </c>
      <c r="N131">
        <v>0</v>
      </c>
      <c r="O131" t="s">
        <v>1080</v>
      </c>
      <c r="P131" s="24" t="str" cm="1">
        <f t="array" ref="P131">_xlfn.IFS(O131&lt;=6,"Detractors",AND(O131&gt;=7,O131&lt;=8),"Passives",AND(O131&gt;8,O131&lt;=10),"Promoters",O131="Not Available","NA")</f>
        <v>NA</v>
      </c>
    </row>
    <row r="132" spans="1:16" ht="14.25" customHeight="1" x14ac:dyDescent="0.3">
      <c r="A132" s="2" t="s">
        <v>158</v>
      </c>
      <c r="B132" s="2" t="s">
        <v>15</v>
      </c>
      <c r="C132" s="2" t="s">
        <v>22</v>
      </c>
      <c r="D132" s="3">
        <v>45946</v>
      </c>
      <c r="H132" s="23" t="str">
        <f t="shared" si="2"/>
        <v>Not Delivered</v>
      </c>
      <c r="I132" s="2" t="s">
        <v>23</v>
      </c>
      <c r="J132" s="2" t="s">
        <v>101</v>
      </c>
      <c r="L132">
        <v>0</v>
      </c>
      <c r="M132">
        <v>0</v>
      </c>
      <c r="N132">
        <v>0</v>
      </c>
      <c r="O132" t="s">
        <v>1080</v>
      </c>
      <c r="P132" s="24" t="str" cm="1">
        <f t="array" ref="P132">_xlfn.IFS(O132&lt;=6,"Detractors",AND(O132&gt;=7,O132&lt;=8),"Passives",AND(O132&gt;8,O132&lt;=10),"Promoters",O132="Not Available","NA")</f>
        <v>NA</v>
      </c>
    </row>
    <row r="133" spans="1:16" ht="14.25" customHeight="1" x14ac:dyDescent="0.3">
      <c r="A133" s="42" t="s">
        <v>159</v>
      </c>
      <c r="B133" s="2" t="s">
        <v>32</v>
      </c>
      <c r="C133" s="2" t="s">
        <v>30</v>
      </c>
      <c r="D133" s="3">
        <v>45939</v>
      </c>
      <c r="E133" s="3">
        <v>45944</v>
      </c>
      <c r="F133" s="3">
        <v>45946</v>
      </c>
      <c r="G133" s="3">
        <v>45953</v>
      </c>
      <c r="H133" s="23" t="str">
        <f t="shared" si="2"/>
        <v>Delivered</v>
      </c>
      <c r="I133" s="2" t="s">
        <v>17</v>
      </c>
      <c r="J133" s="24" t="s">
        <v>1054</v>
      </c>
      <c r="K133" s="3">
        <v>45975</v>
      </c>
      <c r="L133" s="2">
        <v>5</v>
      </c>
      <c r="M133" s="2">
        <v>2</v>
      </c>
      <c r="N133" s="2">
        <v>7</v>
      </c>
      <c r="O133" s="36">
        <v>4</v>
      </c>
      <c r="P133" s="24" t="str" cm="1">
        <f t="array" ref="P133">_xlfn.IFS(O133&lt;=6,"Detractors",AND(O133&gt;=7,O133&lt;=8),"Passives",AND(O133&gt;8,O133&lt;=10),"Promoters",O133="Not Available","NA")</f>
        <v>Detractors</v>
      </c>
    </row>
    <row r="134" spans="1:16" ht="14.25" customHeight="1" x14ac:dyDescent="0.3">
      <c r="A134" s="2" t="s">
        <v>160</v>
      </c>
      <c r="B134" s="2" t="s">
        <v>21</v>
      </c>
      <c r="C134" s="2" t="s">
        <v>22</v>
      </c>
      <c r="D134" s="3">
        <v>45954</v>
      </c>
      <c r="H134" s="23" t="str">
        <f t="shared" si="2"/>
        <v>Not Delivered</v>
      </c>
      <c r="I134" s="2" t="s">
        <v>23</v>
      </c>
      <c r="J134" s="2" t="s">
        <v>63</v>
      </c>
      <c r="L134">
        <v>0</v>
      </c>
      <c r="M134">
        <v>0</v>
      </c>
      <c r="N134">
        <v>0</v>
      </c>
      <c r="O134" s="36" t="s">
        <v>1080</v>
      </c>
      <c r="P134" s="24" t="str" cm="1">
        <f t="array" ref="P134">_xlfn.IFS(O134&lt;=6,"Detractors",AND(O134&gt;=7,O134&lt;=8),"Passives",AND(O134&gt;8,O134&lt;=10),"Promoters",O134="Not Available","NA")</f>
        <v>NA</v>
      </c>
    </row>
    <row r="135" spans="1:16" ht="14.25" customHeight="1" x14ac:dyDescent="0.3">
      <c r="A135" s="2" t="s">
        <v>161</v>
      </c>
      <c r="B135" s="2" t="s">
        <v>32</v>
      </c>
      <c r="C135" s="2" t="s">
        <v>16</v>
      </c>
      <c r="D135" s="3">
        <v>45949</v>
      </c>
      <c r="E135" s="3">
        <v>45950</v>
      </c>
      <c r="F135" s="3">
        <v>45952</v>
      </c>
      <c r="G135" s="3">
        <v>45957</v>
      </c>
      <c r="H135" s="23" t="str">
        <f t="shared" si="2"/>
        <v>Delivered</v>
      </c>
      <c r="I135" s="2" t="s">
        <v>17</v>
      </c>
      <c r="J135" s="24" t="s">
        <v>1054</v>
      </c>
      <c r="K135" s="3">
        <v>45981</v>
      </c>
      <c r="L135" s="2">
        <v>1</v>
      </c>
      <c r="M135" s="2">
        <v>2</v>
      </c>
      <c r="N135" s="2">
        <v>5</v>
      </c>
      <c r="O135" s="36">
        <v>2</v>
      </c>
      <c r="P135" s="24" t="str" cm="1">
        <f t="array" ref="P135">_xlfn.IFS(O135&lt;=6,"Detractors",AND(O135&gt;=7,O135&lt;=8),"Passives",AND(O135&gt;8,O135&lt;=10),"Promoters",O135="Not Available","NA")</f>
        <v>Detractors</v>
      </c>
    </row>
    <row r="136" spans="1:16" ht="14.25" customHeight="1" x14ac:dyDescent="0.3">
      <c r="A136" s="2" t="s">
        <v>162</v>
      </c>
      <c r="B136" s="2" t="s">
        <v>19</v>
      </c>
      <c r="C136" s="2" t="s">
        <v>22</v>
      </c>
      <c r="D136" s="3">
        <v>45955</v>
      </c>
      <c r="H136" s="23" t="str">
        <f t="shared" si="2"/>
        <v>Not Delivered</v>
      </c>
      <c r="I136" s="2" t="s">
        <v>23</v>
      </c>
      <c r="J136" s="2" t="s">
        <v>26</v>
      </c>
      <c r="L136">
        <v>0</v>
      </c>
      <c r="M136">
        <v>0</v>
      </c>
      <c r="N136">
        <v>0</v>
      </c>
      <c r="O136" s="36" t="s">
        <v>1080</v>
      </c>
      <c r="P136" s="24" t="str" cm="1">
        <f t="array" ref="P136">_xlfn.IFS(O136&lt;=6,"Detractors",AND(O136&gt;=7,O136&lt;=8),"Passives",AND(O136&gt;8,O136&lt;=10),"Promoters",O136="Not Available","NA")</f>
        <v>NA</v>
      </c>
    </row>
    <row r="137" spans="1:16" ht="14.25" customHeight="1" x14ac:dyDescent="0.3">
      <c r="A137" s="2" t="s">
        <v>163</v>
      </c>
      <c r="B137" s="2" t="s">
        <v>21</v>
      </c>
      <c r="C137" s="2" t="s">
        <v>16</v>
      </c>
      <c r="D137" s="3">
        <v>45947</v>
      </c>
      <c r="E137" s="3">
        <v>45950</v>
      </c>
      <c r="F137" s="3">
        <v>45951</v>
      </c>
      <c r="G137" s="3">
        <v>45956</v>
      </c>
      <c r="H137" s="23" t="str">
        <f t="shared" si="2"/>
        <v>Delivered</v>
      </c>
      <c r="I137" s="2" t="s">
        <v>17</v>
      </c>
      <c r="J137" s="24" t="s">
        <v>1054</v>
      </c>
      <c r="K137" s="3">
        <v>45979</v>
      </c>
      <c r="L137" s="2">
        <v>3</v>
      </c>
      <c r="M137" s="2">
        <v>1</v>
      </c>
      <c r="N137" s="2">
        <v>5</v>
      </c>
      <c r="O137" s="36">
        <v>3</v>
      </c>
      <c r="P137" s="24" t="str" cm="1">
        <f t="array" ref="P137">_xlfn.IFS(O137&lt;=6,"Detractors",AND(O137&gt;=7,O137&lt;=8),"Passives",AND(O137&gt;8,O137&lt;=10),"Promoters",O137="Not Available","NA")</f>
        <v>Detractors</v>
      </c>
    </row>
    <row r="138" spans="1:16" ht="14.25" customHeight="1" x14ac:dyDescent="0.3">
      <c r="A138" s="2" t="s">
        <v>164</v>
      </c>
      <c r="B138" s="2" t="s">
        <v>19</v>
      </c>
      <c r="C138" s="2" t="s">
        <v>16</v>
      </c>
      <c r="D138" s="3">
        <v>45950</v>
      </c>
      <c r="E138" s="3">
        <v>45954</v>
      </c>
      <c r="F138" s="3">
        <v>45959</v>
      </c>
      <c r="G138" s="3">
        <v>45966</v>
      </c>
      <c r="H138" s="23" t="str">
        <f t="shared" si="2"/>
        <v>Delivered</v>
      </c>
      <c r="I138" s="2" t="s">
        <v>17</v>
      </c>
      <c r="J138" s="24" t="s">
        <v>1054</v>
      </c>
      <c r="K138" s="3">
        <v>45981</v>
      </c>
      <c r="L138" s="2">
        <v>4</v>
      </c>
      <c r="M138" s="2">
        <v>5</v>
      </c>
      <c r="N138" s="2">
        <v>7</v>
      </c>
      <c r="O138" s="36">
        <v>0</v>
      </c>
      <c r="P138" s="24" t="str" cm="1">
        <f t="array" ref="P138">_xlfn.IFS(O138&lt;=6,"Detractors",AND(O138&gt;=7,O138&lt;=8),"Passives",AND(O138&gt;8,O138&lt;=10),"Promoters",O138="Not Available","NA")</f>
        <v>Detractors</v>
      </c>
    </row>
    <row r="139" spans="1:16" ht="14.25" customHeight="1" x14ac:dyDescent="0.3">
      <c r="A139" s="2" t="s">
        <v>165</v>
      </c>
      <c r="B139" s="2" t="s">
        <v>21</v>
      </c>
      <c r="C139" s="2" t="s">
        <v>16</v>
      </c>
      <c r="D139" s="3">
        <v>45940</v>
      </c>
      <c r="E139" s="3">
        <v>45941</v>
      </c>
      <c r="F139" s="3">
        <v>45943</v>
      </c>
      <c r="G139" s="3">
        <v>45948</v>
      </c>
      <c r="H139" s="23" t="str">
        <f t="shared" si="2"/>
        <v>Delivered</v>
      </c>
      <c r="I139" s="2" t="s">
        <v>23</v>
      </c>
      <c r="J139" s="2" t="s">
        <v>101</v>
      </c>
      <c r="L139" s="2">
        <v>1</v>
      </c>
      <c r="M139" s="2">
        <v>2</v>
      </c>
      <c r="N139" s="2">
        <v>5</v>
      </c>
      <c r="O139" t="s">
        <v>1080</v>
      </c>
      <c r="P139" s="24" t="str" cm="1">
        <f t="array" ref="P139">_xlfn.IFS(O139&lt;=6,"Detractors",AND(O139&gt;=7,O139&lt;=8),"Passives",AND(O139&gt;8,O139&lt;=10),"Promoters",O139="Not Available","NA")</f>
        <v>NA</v>
      </c>
    </row>
    <row r="140" spans="1:16" ht="14.25" customHeight="1" x14ac:dyDescent="0.3">
      <c r="A140" s="2" t="s">
        <v>166</v>
      </c>
      <c r="B140" s="2" t="s">
        <v>15</v>
      </c>
      <c r="C140" s="2" t="s">
        <v>22</v>
      </c>
      <c r="D140" s="3">
        <v>45934</v>
      </c>
      <c r="H140" s="23" t="str">
        <f t="shared" si="2"/>
        <v>Not Delivered</v>
      </c>
      <c r="I140" s="2" t="s">
        <v>23</v>
      </c>
      <c r="J140" s="2" t="s">
        <v>26</v>
      </c>
      <c r="L140">
        <v>0</v>
      </c>
      <c r="M140">
        <v>0</v>
      </c>
      <c r="N140">
        <v>0</v>
      </c>
      <c r="O140" t="s">
        <v>1080</v>
      </c>
      <c r="P140" s="24" t="str" cm="1">
        <f t="array" ref="P140">_xlfn.IFS(O140&lt;=6,"Detractors",AND(O140&gt;=7,O140&lt;=8),"Passives",AND(O140&gt;8,O140&lt;=10),"Promoters",O140="Not Available","NA")</f>
        <v>NA</v>
      </c>
    </row>
    <row r="141" spans="1:16" ht="14.25" customHeight="1" x14ac:dyDescent="0.3">
      <c r="A141" s="2" t="s">
        <v>167</v>
      </c>
      <c r="B141" s="2" t="s">
        <v>15</v>
      </c>
      <c r="C141" s="2" t="s">
        <v>16</v>
      </c>
      <c r="D141" s="3">
        <v>45957</v>
      </c>
      <c r="E141" s="3">
        <v>45960</v>
      </c>
      <c r="F141" s="3">
        <v>45962</v>
      </c>
      <c r="G141" s="3">
        <v>45967</v>
      </c>
      <c r="H141" s="23" t="str">
        <f t="shared" si="2"/>
        <v>Delivered</v>
      </c>
      <c r="I141" s="2" t="s">
        <v>17</v>
      </c>
      <c r="J141" s="24" t="s">
        <v>1054</v>
      </c>
      <c r="K141" s="3">
        <v>45990</v>
      </c>
      <c r="L141" s="2">
        <v>3</v>
      </c>
      <c r="M141" s="2">
        <v>2</v>
      </c>
      <c r="N141" s="2">
        <v>5</v>
      </c>
      <c r="O141" s="36">
        <v>5</v>
      </c>
      <c r="P141" s="24" t="str" cm="1">
        <f t="array" ref="P141">_xlfn.IFS(O141&lt;=6,"Detractors",AND(O141&gt;=7,O141&lt;=8),"Passives",AND(O141&gt;8,O141&lt;=10),"Promoters",O141="Not Available","NA")</f>
        <v>Detractors</v>
      </c>
    </row>
    <row r="142" spans="1:16" ht="14.25" customHeight="1" x14ac:dyDescent="0.3">
      <c r="A142" s="2" t="s">
        <v>168</v>
      </c>
      <c r="B142" s="2" t="s">
        <v>15</v>
      </c>
      <c r="C142" s="2" t="s">
        <v>16</v>
      </c>
      <c r="D142" s="3">
        <v>45937</v>
      </c>
      <c r="E142" s="3">
        <v>45942</v>
      </c>
      <c r="F142" s="3">
        <v>45943</v>
      </c>
      <c r="G142" s="3">
        <v>45946</v>
      </c>
      <c r="H142" s="23" t="str">
        <f t="shared" si="2"/>
        <v>Delivered</v>
      </c>
      <c r="I142" s="2" t="s">
        <v>17</v>
      </c>
      <c r="J142" s="24" t="s">
        <v>1054</v>
      </c>
      <c r="K142" s="3">
        <v>45971</v>
      </c>
      <c r="L142" s="2">
        <v>5</v>
      </c>
      <c r="M142" s="2">
        <v>1</v>
      </c>
      <c r="N142" s="2">
        <v>3</v>
      </c>
      <c r="O142" s="36">
        <v>0</v>
      </c>
      <c r="P142" s="24" t="str" cm="1">
        <f t="array" ref="P142">_xlfn.IFS(O142&lt;=6,"Detractors",AND(O142&gt;=7,O142&lt;=8),"Passives",AND(O142&gt;8,O142&lt;=10),"Promoters",O142="Not Available","NA")</f>
        <v>Detractors</v>
      </c>
    </row>
    <row r="143" spans="1:16" ht="14.25" customHeight="1" x14ac:dyDescent="0.3">
      <c r="A143" s="2" t="s">
        <v>169</v>
      </c>
      <c r="B143" s="2" t="s">
        <v>32</v>
      </c>
      <c r="C143" s="2" t="s">
        <v>22</v>
      </c>
      <c r="D143" s="3">
        <v>45940</v>
      </c>
      <c r="H143" s="23" t="str">
        <f t="shared" si="2"/>
        <v>Not Delivered</v>
      </c>
      <c r="I143" s="2" t="s">
        <v>23</v>
      </c>
      <c r="J143" s="2" t="s">
        <v>24</v>
      </c>
      <c r="L143">
        <v>0</v>
      </c>
      <c r="M143">
        <v>0</v>
      </c>
      <c r="N143">
        <v>0</v>
      </c>
      <c r="O143" t="s">
        <v>1080</v>
      </c>
      <c r="P143" s="24" t="str" cm="1">
        <f t="array" ref="P143">_xlfn.IFS(O143&lt;=6,"Detractors",AND(O143&gt;=7,O143&lt;=8),"Passives",AND(O143&gt;8,O143&lt;=10),"Promoters",O143="Not Available","NA")</f>
        <v>NA</v>
      </c>
    </row>
    <row r="144" spans="1:16" ht="14.25" customHeight="1" x14ac:dyDescent="0.3">
      <c r="A144" s="42" t="s">
        <v>170</v>
      </c>
      <c r="B144" s="2" t="s">
        <v>19</v>
      </c>
      <c r="C144" s="2" t="s">
        <v>30</v>
      </c>
      <c r="D144" s="3">
        <v>45938</v>
      </c>
      <c r="E144" s="3">
        <v>45942</v>
      </c>
      <c r="F144" s="3">
        <v>45943</v>
      </c>
      <c r="G144" s="3">
        <v>45945</v>
      </c>
      <c r="H144" s="23" t="str">
        <f t="shared" si="2"/>
        <v>Delivered</v>
      </c>
      <c r="I144" s="2" t="s">
        <v>17</v>
      </c>
      <c r="J144" s="24" t="s">
        <v>1054</v>
      </c>
      <c r="K144" s="3">
        <v>45967</v>
      </c>
      <c r="L144" s="2">
        <v>4</v>
      </c>
      <c r="M144" s="2">
        <v>1</v>
      </c>
      <c r="N144" s="2">
        <v>2</v>
      </c>
      <c r="O144" s="36">
        <v>4</v>
      </c>
      <c r="P144" s="24" t="str" cm="1">
        <f t="array" ref="P144">_xlfn.IFS(O144&lt;=6,"Detractors",AND(O144&gt;=7,O144&lt;=8),"Passives",AND(O144&gt;8,O144&lt;=10),"Promoters",O144="Not Available","NA")</f>
        <v>Detractors</v>
      </c>
    </row>
    <row r="145" spans="1:16" ht="14.25" customHeight="1" x14ac:dyDescent="0.3">
      <c r="A145" s="42" t="s">
        <v>171</v>
      </c>
      <c r="B145" s="2" t="s">
        <v>32</v>
      </c>
      <c r="C145" s="2" t="s">
        <v>30</v>
      </c>
      <c r="D145" s="3">
        <v>45942</v>
      </c>
      <c r="E145" s="3">
        <v>45947</v>
      </c>
      <c r="F145" s="3">
        <v>45951</v>
      </c>
      <c r="G145" s="3">
        <v>45957</v>
      </c>
      <c r="H145" s="23" t="str">
        <f t="shared" si="2"/>
        <v>Delivered</v>
      </c>
      <c r="I145" s="2" t="s">
        <v>17</v>
      </c>
      <c r="J145" s="24" t="s">
        <v>1054</v>
      </c>
      <c r="K145" s="3">
        <v>45978</v>
      </c>
      <c r="L145" s="2">
        <v>5</v>
      </c>
      <c r="M145" s="2">
        <v>4</v>
      </c>
      <c r="N145" s="2">
        <v>6</v>
      </c>
      <c r="O145" s="36">
        <v>1</v>
      </c>
      <c r="P145" s="24" t="str" cm="1">
        <f t="array" ref="P145">_xlfn.IFS(O145&lt;=6,"Detractors",AND(O145&gt;=7,O145&lt;=8),"Passives",AND(O145&gt;8,O145&lt;=10),"Promoters",O145="Not Available","NA")</f>
        <v>Detractors</v>
      </c>
    </row>
    <row r="146" spans="1:16" ht="14.25" customHeight="1" x14ac:dyDescent="0.3">
      <c r="A146" s="42" t="s">
        <v>172</v>
      </c>
      <c r="B146" s="2" t="s">
        <v>15</v>
      </c>
      <c r="C146" s="2" t="s">
        <v>30</v>
      </c>
      <c r="D146" s="3">
        <v>45936</v>
      </c>
      <c r="E146" s="3">
        <v>45939</v>
      </c>
      <c r="F146" s="3">
        <v>45942</v>
      </c>
      <c r="G146" s="3">
        <v>45944</v>
      </c>
      <c r="H146" s="23" t="str">
        <f t="shared" si="2"/>
        <v>Delivered</v>
      </c>
      <c r="I146" s="2" t="s">
        <v>17</v>
      </c>
      <c r="J146" s="24" t="s">
        <v>1054</v>
      </c>
      <c r="K146" s="3">
        <v>45971</v>
      </c>
      <c r="L146" s="2">
        <v>3</v>
      </c>
      <c r="M146" s="2">
        <v>3</v>
      </c>
      <c r="N146" s="2">
        <v>2</v>
      </c>
      <c r="O146" s="36">
        <v>6</v>
      </c>
      <c r="P146" s="24" t="str" cm="1">
        <f t="array" ref="P146">_xlfn.IFS(O146&lt;=6,"Detractors",AND(O146&gt;=7,O146&lt;=8),"Passives",AND(O146&gt;8,O146&lt;=10),"Promoters",O146="Not Available","NA")</f>
        <v>Detractors</v>
      </c>
    </row>
    <row r="147" spans="1:16" ht="14.25" customHeight="1" x14ac:dyDescent="0.3">
      <c r="A147" s="2" t="s">
        <v>173</v>
      </c>
      <c r="B147" s="2" t="s">
        <v>19</v>
      </c>
      <c r="C147" s="2" t="s">
        <v>16</v>
      </c>
      <c r="D147" s="3">
        <v>45940</v>
      </c>
      <c r="E147" s="3">
        <v>45941</v>
      </c>
      <c r="F147" s="3">
        <v>45945</v>
      </c>
      <c r="G147" s="3">
        <v>45948</v>
      </c>
      <c r="H147" s="23" t="str">
        <f t="shared" si="2"/>
        <v>Delivered</v>
      </c>
      <c r="I147" s="2" t="s">
        <v>17</v>
      </c>
      <c r="J147" s="24" t="s">
        <v>1054</v>
      </c>
      <c r="K147" s="3">
        <v>45970</v>
      </c>
      <c r="L147" s="2">
        <v>1</v>
      </c>
      <c r="M147" s="2">
        <v>4</v>
      </c>
      <c r="N147" s="2">
        <v>3</v>
      </c>
      <c r="O147" s="36">
        <v>1</v>
      </c>
      <c r="P147" s="24" t="str" cm="1">
        <f t="array" ref="P147">_xlfn.IFS(O147&lt;=6,"Detractors",AND(O147&gt;=7,O147&lt;=8),"Passives",AND(O147&gt;8,O147&lt;=10),"Promoters",O147="Not Available","NA")</f>
        <v>Detractors</v>
      </c>
    </row>
    <row r="148" spans="1:16" ht="14.25" customHeight="1" x14ac:dyDescent="0.3">
      <c r="A148" s="42" t="s">
        <v>174</v>
      </c>
      <c r="B148" s="2" t="s">
        <v>15</v>
      </c>
      <c r="C148" s="2" t="s">
        <v>30</v>
      </c>
      <c r="D148" s="3">
        <v>45931</v>
      </c>
      <c r="E148" s="3">
        <v>45933</v>
      </c>
      <c r="F148" s="3">
        <v>45934</v>
      </c>
      <c r="G148" s="3">
        <v>45938</v>
      </c>
      <c r="H148" s="23" t="str">
        <f t="shared" si="2"/>
        <v>Delivered</v>
      </c>
      <c r="I148" s="2" t="s">
        <v>17</v>
      </c>
      <c r="J148" s="24" t="s">
        <v>1054</v>
      </c>
      <c r="K148" s="3">
        <v>45951</v>
      </c>
      <c r="L148" s="2">
        <v>2</v>
      </c>
      <c r="M148" s="2">
        <v>1</v>
      </c>
      <c r="N148" s="2">
        <v>4</v>
      </c>
      <c r="O148" s="36">
        <v>6</v>
      </c>
      <c r="P148" s="24" t="str" cm="1">
        <f t="array" ref="P148">_xlfn.IFS(O148&lt;=6,"Detractors",AND(O148&gt;=7,O148&lt;=8),"Passives",AND(O148&gt;8,O148&lt;=10),"Promoters",O148="Not Available","NA")</f>
        <v>Detractors</v>
      </c>
    </row>
    <row r="149" spans="1:16" ht="14.25" customHeight="1" x14ac:dyDescent="0.3">
      <c r="A149" s="2" t="s">
        <v>175</v>
      </c>
      <c r="B149" s="2" t="s">
        <v>32</v>
      </c>
      <c r="C149" s="2" t="s">
        <v>22</v>
      </c>
      <c r="D149" s="3">
        <v>45953</v>
      </c>
      <c r="H149" s="23" t="str">
        <f t="shared" si="2"/>
        <v>Not Delivered</v>
      </c>
      <c r="I149" s="2" t="s">
        <v>23</v>
      </c>
      <c r="J149" s="2" t="s">
        <v>33</v>
      </c>
      <c r="L149">
        <v>0</v>
      </c>
      <c r="M149">
        <v>0</v>
      </c>
      <c r="N149">
        <v>0</v>
      </c>
      <c r="O149" t="s">
        <v>1080</v>
      </c>
      <c r="P149" s="24" t="str" cm="1">
        <f t="array" ref="P149">_xlfn.IFS(O149&lt;=6,"Detractors",AND(O149&gt;=7,O149&lt;=8),"Passives",AND(O149&gt;8,O149&lt;=10),"Promoters",O149="Not Available","NA")</f>
        <v>NA</v>
      </c>
    </row>
    <row r="150" spans="1:16" ht="14.25" customHeight="1" x14ac:dyDescent="0.3">
      <c r="A150" s="42" t="s">
        <v>176</v>
      </c>
      <c r="B150" s="2" t="s">
        <v>32</v>
      </c>
      <c r="C150" s="2" t="s">
        <v>30</v>
      </c>
      <c r="D150" s="3">
        <v>45948</v>
      </c>
      <c r="E150" s="3">
        <v>45952</v>
      </c>
      <c r="F150" s="3">
        <v>45954</v>
      </c>
      <c r="G150" s="3">
        <v>45956</v>
      </c>
      <c r="H150" s="23" t="str">
        <f t="shared" si="2"/>
        <v>Delivered</v>
      </c>
      <c r="I150" s="2" t="s">
        <v>17</v>
      </c>
      <c r="J150" s="24" t="s">
        <v>1054</v>
      </c>
      <c r="K150" s="3">
        <v>45981</v>
      </c>
      <c r="L150" s="2">
        <v>4</v>
      </c>
      <c r="M150" s="2">
        <v>2</v>
      </c>
      <c r="N150" s="2">
        <v>2</v>
      </c>
      <c r="O150" s="36">
        <v>5</v>
      </c>
      <c r="P150" s="24" t="str" cm="1">
        <f t="array" ref="P150">_xlfn.IFS(O150&lt;=6,"Detractors",AND(O150&gt;=7,O150&lt;=8),"Passives",AND(O150&gt;8,O150&lt;=10),"Promoters",O150="Not Available","NA")</f>
        <v>Detractors</v>
      </c>
    </row>
    <row r="151" spans="1:16" ht="14.25" customHeight="1" x14ac:dyDescent="0.3">
      <c r="A151" s="2" t="s">
        <v>177</v>
      </c>
      <c r="B151" s="2" t="s">
        <v>32</v>
      </c>
      <c r="C151" s="2" t="s">
        <v>16</v>
      </c>
      <c r="D151" s="3">
        <v>45935</v>
      </c>
      <c r="E151" s="3">
        <v>45940</v>
      </c>
      <c r="F151" s="3">
        <v>45941</v>
      </c>
      <c r="G151" s="3">
        <v>45945</v>
      </c>
      <c r="H151" s="23" t="str">
        <f t="shared" si="2"/>
        <v>Delivered</v>
      </c>
      <c r="I151" s="2" t="s">
        <v>17</v>
      </c>
      <c r="J151" s="24" t="s">
        <v>1054</v>
      </c>
      <c r="K151" s="3">
        <v>45973</v>
      </c>
      <c r="L151" s="2">
        <v>5</v>
      </c>
      <c r="M151" s="2">
        <v>1</v>
      </c>
      <c r="N151" s="2">
        <v>4</v>
      </c>
      <c r="O151" s="36">
        <v>4</v>
      </c>
      <c r="P151" s="24" t="str" cm="1">
        <f t="array" ref="P151">_xlfn.IFS(O151&lt;=6,"Detractors",AND(O151&gt;=7,O151&lt;=8),"Passives",AND(O151&gt;8,O151&lt;=10),"Promoters",O151="Not Available","NA")</f>
        <v>Detractors</v>
      </c>
    </row>
    <row r="152" spans="1:16" ht="14.25" customHeight="1" x14ac:dyDescent="0.3">
      <c r="A152" s="42" t="s">
        <v>178</v>
      </c>
      <c r="B152" s="2" t="s">
        <v>15</v>
      </c>
      <c r="C152" s="2" t="s">
        <v>30</v>
      </c>
      <c r="D152" s="3">
        <v>45939</v>
      </c>
      <c r="E152" s="3">
        <v>45940</v>
      </c>
      <c r="F152" s="3">
        <v>45945</v>
      </c>
      <c r="G152" s="3">
        <v>45948</v>
      </c>
      <c r="H152" s="23" t="str">
        <f t="shared" si="2"/>
        <v>Delivered</v>
      </c>
      <c r="I152" s="2" t="s">
        <v>17</v>
      </c>
      <c r="J152" s="24" t="s">
        <v>1054</v>
      </c>
      <c r="K152" s="3">
        <v>45978</v>
      </c>
      <c r="L152" s="2">
        <v>1</v>
      </c>
      <c r="M152" s="2">
        <v>5</v>
      </c>
      <c r="N152" s="2">
        <v>3</v>
      </c>
      <c r="O152" s="36">
        <v>2</v>
      </c>
      <c r="P152" s="24" t="str" cm="1">
        <f t="array" ref="P152">_xlfn.IFS(O152&lt;=6,"Detractors",AND(O152&gt;=7,O152&lt;=8),"Passives",AND(O152&gt;8,O152&lt;=10),"Promoters",O152="Not Available","NA")</f>
        <v>Detractors</v>
      </c>
    </row>
    <row r="153" spans="1:16" ht="14.25" customHeight="1" x14ac:dyDescent="0.3">
      <c r="A153" s="2" t="s">
        <v>179</v>
      </c>
      <c r="B153" s="2" t="s">
        <v>19</v>
      </c>
      <c r="C153" s="2" t="s">
        <v>22</v>
      </c>
      <c r="D153" s="3">
        <v>45932</v>
      </c>
      <c r="H153" s="23" t="str">
        <f t="shared" si="2"/>
        <v>Not Delivered</v>
      </c>
      <c r="I153" s="2" t="s">
        <v>23</v>
      </c>
      <c r="J153" s="2" t="s">
        <v>24</v>
      </c>
      <c r="L153">
        <v>0</v>
      </c>
      <c r="M153">
        <v>0</v>
      </c>
      <c r="N153">
        <v>0</v>
      </c>
      <c r="O153" t="s">
        <v>1080</v>
      </c>
      <c r="P153" s="24" t="str" cm="1">
        <f t="array" ref="P153">_xlfn.IFS(O153&lt;=6,"Detractors",AND(O153&gt;=7,O153&lt;=8),"Passives",AND(O153&gt;8,O153&lt;=10),"Promoters",O153="Not Available","NA")</f>
        <v>NA</v>
      </c>
    </row>
    <row r="154" spans="1:16" ht="14.25" customHeight="1" x14ac:dyDescent="0.3">
      <c r="A154" s="2" t="s">
        <v>180</v>
      </c>
      <c r="B154" s="2" t="s">
        <v>19</v>
      </c>
      <c r="C154" s="2" t="s">
        <v>22</v>
      </c>
      <c r="D154" s="3">
        <v>45932</v>
      </c>
      <c r="H154" s="23" t="str">
        <f t="shared" si="2"/>
        <v>Not Delivered</v>
      </c>
      <c r="I154" s="2" t="s">
        <v>23</v>
      </c>
      <c r="J154" s="2" t="s">
        <v>33</v>
      </c>
      <c r="L154">
        <v>0</v>
      </c>
      <c r="M154">
        <v>0</v>
      </c>
      <c r="N154">
        <v>0</v>
      </c>
      <c r="O154" t="s">
        <v>1080</v>
      </c>
      <c r="P154" s="24" t="str" cm="1">
        <f t="array" ref="P154">_xlfn.IFS(O154&lt;=6,"Detractors",AND(O154&gt;=7,O154&lt;=8),"Passives",AND(O154&gt;8,O154&lt;=10),"Promoters",O154="Not Available","NA")</f>
        <v>NA</v>
      </c>
    </row>
    <row r="155" spans="1:16" ht="14.25" customHeight="1" x14ac:dyDescent="0.3">
      <c r="A155" s="2" t="s">
        <v>181</v>
      </c>
      <c r="B155" s="2" t="s">
        <v>15</v>
      </c>
      <c r="C155" s="2" t="s">
        <v>16</v>
      </c>
      <c r="D155" s="3">
        <v>45948</v>
      </c>
      <c r="E155" s="3">
        <v>45949</v>
      </c>
      <c r="F155" s="3">
        <v>45951</v>
      </c>
      <c r="G155" s="3">
        <v>45957</v>
      </c>
      <c r="H155" s="23" t="str">
        <f t="shared" si="2"/>
        <v>Delivered</v>
      </c>
      <c r="I155" s="2" t="s">
        <v>17</v>
      </c>
      <c r="J155" s="24" t="s">
        <v>1054</v>
      </c>
      <c r="K155" s="3">
        <v>45974</v>
      </c>
      <c r="L155" s="2">
        <v>1</v>
      </c>
      <c r="M155" s="2">
        <v>2</v>
      </c>
      <c r="N155" s="2">
        <v>6</v>
      </c>
      <c r="O155" s="36">
        <v>7</v>
      </c>
      <c r="P155" s="24" t="str" cm="1">
        <f t="array" ref="P155">_xlfn.IFS(O155&lt;=6,"Detractors",AND(O155&gt;=7,O155&lt;=8),"Passives",AND(O155&gt;8,O155&lt;=10),"Promoters",O155="Not Available","NA")</f>
        <v>Passives</v>
      </c>
    </row>
    <row r="156" spans="1:16" ht="14.25" customHeight="1" x14ac:dyDescent="0.3">
      <c r="A156" s="2" t="s">
        <v>182</v>
      </c>
      <c r="B156" s="2" t="s">
        <v>19</v>
      </c>
      <c r="C156" s="2" t="s">
        <v>22</v>
      </c>
      <c r="D156" s="3">
        <v>45940</v>
      </c>
      <c r="H156" s="23" t="str">
        <f t="shared" si="2"/>
        <v>Not Delivered</v>
      </c>
      <c r="I156" s="2" t="s">
        <v>23</v>
      </c>
      <c r="J156" s="2" t="s">
        <v>24</v>
      </c>
      <c r="L156">
        <v>0</v>
      </c>
      <c r="M156">
        <v>0</v>
      </c>
      <c r="N156">
        <v>0</v>
      </c>
      <c r="O156" t="s">
        <v>1080</v>
      </c>
      <c r="P156" s="24" t="str" cm="1">
        <f t="array" ref="P156">_xlfn.IFS(O156&lt;=6,"Detractors",AND(O156&gt;=7,O156&lt;=8),"Passives",AND(O156&gt;8,O156&lt;=10),"Promoters",O156="Not Available","NA")</f>
        <v>NA</v>
      </c>
    </row>
    <row r="157" spans="1:16" ht="14.25" customHeight="1" x14ac:dyDescent="0.3">
      <c r="A157" s="42" t="s">
        <v>183</v>
      </c>
      <c r="B157" s="2" t="s">
        <v>15</v>
      </c>
      <c r="C157" s="2" t="s">
        <v>30</v>
      </c>
      <c r="D157" s="3">
        <v>45953</v>
      </c>
      <c r="E157" s="3">
        <v>45955</v>
      </c>
      <c r="F157" s="3">
        <v>45959</v>
      </c>
      <c r="G157" s="3">
        <v>45963</v>
      </c>
      <c r="H157" s="23" t="str">
        <f t="shared" si="2"/>
        <v>Delivered</v>
      </c>
      <c r="I157" s="2" t="s">
        <v>17</v>
      </c>
      <c r="J157" s="24" t="s">
        <v>1054</v>
      </c>
      <c r="K157" s="3">
        <v>45978</v>
      </c>
      <c r="L157" s="2">
        <v>2</v>
      </c>
      <c r="M157" s="2">
        <v>4</v>
      </c>
      <c r="N157" s="2">
        <v>4</v>
      </c>
      <c r="O157" s="36">
        <v>4</v>
      </c>
      <c r="P157" s="24" t="str" cm="1">
        <f t="array" ref="P157">_xlfn.IFS(O157&lt;=6,"Detractors",AND(O157&gt;=7,O157&lt;=8),"Passives",AND(O157&gt;8,O157&lt;=10),"Promoters",O157="Not Available","NA")</f>
        <v>Detractors</v>
      </c>
    </row>
    <row r="158" spans="1:16" ht="14.25" customHeight="1" x14ac:dyDescent="0.3">
      <c r="A158" s="2" t="s">
        <v>184</v>
      </c>
      <c r="B158" s="2" t="s">
        <v>19</v>
      </c>
      <c r="C158" s="2" t="s">
        <v>22</v>
      </c>
      <c r="D158" s="3">
        <v>45961</v>
      </c>
      <c r="H158" s="23" t="str">
        <f t="shared" si="2"/>
        <v>Not Delivered</v>
      </c>
      <c r="I158" s="2" t="s">
        <v>23</v>
      </c>
      <c r="J158" s="2" t="s">
        <v>63</v>
      </c>
      <c r="L158">
        <v>0</v>
      </c>
      <c r="M158">
        <v>0</v>
      </c>
      <c r="N158">
        <v>0</v>
      </c>
      <c r="O158" s="36" t="s">
        <v>1080</v>
      </c>
      <c r="P158" s="24" t="str" cm="1">
        <f t="array" ref="P158">_xlfn.IFS(O158&lt;=6,"Detractors",AND(O158&gt;=7,O158&lt;=8),"Passives",AND(O158&gt;8,O158&lt;=10),"Promoters",O158="Not Available","NA")</f>
        <v>NA</v>
      </c>
    </row>
    <row r="159" spans="1:16" ht="14.25" customHeight="1" x14ac:dyDescent="0.3">
      <c r="A159" s="42" t="s">
        <v>185</v>
      </c>
      <c r="B159" s="2" t="s">
        <v>21</v>
      </c>
      <c r="C159" s="2" t="s">
        <v>30</v>
      </c>
      <c r="D159" s="3">
        <v>45935</v>
      </c>
      <c r="E159" s="3">
        <v>45938</v>
      </c>
      <c r="F159" s="3">
        <v>45942</v>
      </c>
      <c r="G159" s="3">
        <v>45945</v>
      </c>
      <c r="H159" s="23" t="str">
        <f t="shared" si="2"/>
        <v>Delivered</v>
      </c>
      <c r="I159" s="2" t="s">
        <v>17</v>
      </c>
      <c r="J159" s="24" t="s">
        <v>1054</v>
      </c>
      <c r="K159" s="3">
        <v>45969</v>
      </c>
      <c r="L159" s="2">
        <v>3</v>
      </c>
      <c r="M159" s="2">
        <v>4</v>
      </c>
      <c r="N159" s="2">
        <v>3</v>
      </c>
      <c r="O159" s="36">
        <v>8</v>
      </c>
      <c r="P159" s="24" t="str" cm="1">
        <f t="array" ref="P159">_xlfn.IFS(O159&lt;=6,"Detractors",AND(O159&gt;=7,O159&lt;=8),"Passives",AND(O159&gt;8,O159&lt;=10),"Promoters",O159="Not Available","NA")</f>
        <v>Passives</v>
      </c>
    </row>
    <row r="160" spans="1:16" ht="14.25" customHeight="1" x14ac:dyDescent="0.3">
      <c r="A160" s="2" t="s">
        <v>186</v>
      </c>
      <c r="B160" s="2" t="s">
        <v>21</v>
      </c>
      <c r="C160" s="2" t="s">
        <v>22</v>
      </c>
      <c r="D160" s="3">
        <v>45951</v>
      </c>
      <c r="H160" s="23" t="str">
        <f t="shared" si="2"/>
        <v>Not Delivered</v>
      </c>
      <c r="I160" s="2" t="s">
        <v>23</v>
      </c>
      <c r="J160" s="2" t="s">
        <v>26</v>
      </c>
      <c r="L160">
        <v>0</v>
      </c>
      <c r="M160">
        <v>0</v>
      </c>
      <c r="N160">
        <v>0</v>
      </c>
      <c r="O160" t="s">
        <v>1080</v>
      </c>
      <c r="P160" s="24" t="str" cm="1">
        <f t="array" ref="P160">_xlfn.IFS(O160&lt;=6,"Detractors",AND(O160&gt;=7,O160&lt;=8),"Passives",AND(O160&gt;8,O160&lt;=10),"Promoters",O160="Not Available","NA")</f>
        <v>NA</v>
      </c>
    </row>
    <row r="161" spans="1:16" ht="14.25" customHeight="1" x14ac:dyDescent="0.3">
      <c r="A161" s="42" t="s">
        <v>187</v>
      </c>
      <c r="B161" s="2" t="s">
        <v>32</v>
      </c>
      <c r="C161" s="2" t="s">
        <v>30</v>
      </c>
      <c r="D161" s="3">
        <v>45958</v>
      </c>
      <c r="E161" s="3">
        <v>45960</v>
      </c>
      <c r="F161" s="3">
        <v>45964</v>
      </c>
      <c r="G161" s="3">
        <v>45969</v>
      </c>
      <c r="H161" s="23" t="str">
        <f t="shared" si="2"/>
        <v>Delivered</v>
      </c>
      <c r="I161" s="2" t="s">
        <v>17</v>
      </c>
      <c r="J161" s="24" t="s">
        <v>1054</v>
      </c>
      <c r="K161" s="3">
        <v>45981</v>
      </c>
      <c r="L161" s="2">
        <v>2</v>
      </c>
      <c r="M161" s="2">
        <v>4</v>
      </c>
      <c r="N161" s="2">
        <v>5</v>
      </c>
      <c r="O161" s="36">
        <v>5</v>
      </c>
      <c r="P161" s="24" t="str" cm="1">
        <f t="array" ref="P161">_xlfn.IFS(O161&lt;=6,"Detractors",AND(O161&gt;=7,O161&lt;=8),"Passives",AND(O161&gt;8,O161&lt;=10),"Promoters",O161="Not Available","NA")</f>
        <v>Detractors</v>
      </c>
    </row>
    <row r="162" spans="1:16" ht="14.25" customHeight="1" x14ac:dyDescent="0.3">
      <c r="A162" s="2" t="s">
        <v>188</v>
      </c>
      <c r="B162" s="2" t="s">
        <v>21</v>
      </c>
      <c r="C162" s="2" t="s">
        <v>16</v>
      </c>
      <c r="D162" s="3">
        <v>45955</v>
      </c>
      <c r="E162" s="3">
        <v>45957</v>
      </c>
      <c r="F162" s="3">
        <v>45959</v>
      </c>
      <c r="G162" s="3">
        <v>45965</v>
      </c>
      <c r="H162" s="23" t="str">
        <f t="shared" si="2"/>
        <v>Delivered</v>
      </c>
      <c r="I162" s="2" t="s">
        <v>17</v>
      </c>
      <c r="J162" s="24" t="s">
        <v>1054</v>
      </c>
      <c r="K162" s="3">
        <v>45976</v>
      </c>
      <c r="L162" s="2">
        <v>2</v>
      </c>
      <c r="M162" s="2">
        <v>2</v>
      </c>
      <c r="N162" s="2">
        <v>6</v>
      </c>
      <c r="O162" s="36">
        <v>3</v>
      </c>
      <c r="P162" s="24" t="str" cm="1">
        <f t="array" ref="P162">_xlfn.IFS(O162&lt;=6,"Detractors",AND(O162&gt;=7,O162&lt;=8),"Passives",AND(O162&gt;8,O162&lt;=10),"Promoters",O162="Not Available","NA")</f>
        <v>Detractors</v>
      </c>
    </row>
    <row r="163" spans="1:16" ht="14.25" customHeight="1" x14ac:dyDescent="0.3">
      <c r="A163" s="2" t="s">
        <v>189</v>
      </c>
      <c r="B163" s="2" t="s">
        <v>21</v>
      </c>
      <c r="C163" s="2" t="s">
        <v>16</v>
      </c>
      <c r="D163" s="3">
        <v>45946</v>
      </c>
      <c r="E163" s="3">
        <v>45949</v>
      </c>
      <c r="F163" s="3">
        <v>45952</v>
      </c>
      <c r="G163" s="3">
        <v>45959</v>
      </c>
      <c r="H163" s="23" t="str">
        <f t="shared" si="2"/>
        <v>Delivered</v>
      </c>
      <c r="I163" s="2" t="s">
        <v>17</v>
      </c>
      <c r="J163" s="24" t="s">
        <v>1054</v>
      </c>
      <c r="K163" s="3">
        <v>45978</v>
      </c>
      <c r="L163" s="2">
        <v>3</v>
      </c>
      <c r="M163" s="2">
        <v>3</v>
      </c>
      <c r="N163" s="2">
        <v>7</v>
      </c>
      <c r="O163" s="36">
        <v>2</v>
      </c>
      <c r="P163" s="24" t="str" cm="1">
        <f t="array" ref="P163">_xlfn.IFS(O163&lt;=6,"Detractors",AND(O163&gt;=7,O163&lt;=8),"Passives",AND(O163&gt;8,O163&lt;=10),"Promoters",O163="Not Available","NA")</f>
        <v>Detractors</v>
      </c>
    </row>
    <row r="164" spans="1:16" ht="14.25" customHeight="1" x14ac:dyDescent="0.3">
      <c r="A164" s="42" t="s">
        <v>190</v>
      </c>
      <c r="B164" s="2" t="s">
        <v>21</v>
      </c>
      <c r="C164" s="2" t="s">
        <v>30</v>
      </c>
      <c r="D164" s="3">
        <v>45934</v>
      </c>
      <c r="E164" s="3">
        <v>45937</v>
      </c>
      <c r="F164" s="3">
        <v>45940</v>
      </c>
      <c r="G164" s="3">
        <v>45945</v>
      </c>
      <c r="H164" s="23" t="str">
        <f t="shared" si="2"/>
        <v>Delivered</v>
      </c>
      <c r="I164" s="2" t="s">
        <v>17</v>
      </c>
      <c r="J164" s="24" t="s">
        <v>1054</v>
      </c>
      <c r="K164" s="3">
        <v>45955</v>
      </c>
      <c r="L164" s="2">
        <v>3</v>
      </c>
      <c r="M164" s="2">
        <v>3</v>
      </c>
      <c r="N164" s="2">
        <v>5</v>
      </c>
      <c r="O164" s="36">
        <v>7</v>
      </c>
      <c r="P164" s="24" t="str" cm="1">
        <f t="array" ref="P164">_xlfn.IFS(O164&lt;=6,"Detractors",AND(O164&gt;=7,O164&lt;=8),"Passives",AND(O164&gt;8,O164&lt;=10),"Promoters",O164="Not Available","NA")</f>
        <v>Passives</v>
      </c>
    </row>
    <row r="165" spans="1:16" ht="14.25" customHeight="1" x14ac:dyDescent="0.3">
      <c r="A165" s="42" t="s">
        <v>191</v>
      </c>
      <c r="B165" s="2" t="s">
        <v>15</v>
      </c>
      <c r="C165" s="2" t="s">
        <v>30</v>
      </c>
      <c r="D165" s="3">
        <v>45958</v>
      </c>
      <c r="E165" s="3">
        <v>45961</v>
      </c>
      <c r="F165" s="3">
        <v>45964</v>
      </c>
      <c r="G165" s="3">
        <v>45970</v>
      </c>
      <c r="H165" s="23" t="str">
        <f t="shared" si="2"/>
        <v>Delivered</v>
      </c>
      <c r="I165" s="2" t="s">
        <v>17</v>
      </c>
      <c r="J165" s="24" t="s">
        <v>1054</v>
      </c>
      <c r="K165" s="3">
        <v>45990</v>
      </c>
      <c r="L165" s="2">
        <v>3</v>
      </c>
      <c r="M165" s="2">
        <v>3</v>
      </c>
      <c r="N165" s="2">
        <v>6</v>
      </c>
      <c r="O165" s="36">
        <v>5</v>
      </c>
      <c r="P165" s="24" t="str" cm="1">
        <f t="array" ref="P165">_xlfn.IFS(O165&lt;=6,"Detractors",AND(O165&gt;=7,O165&lt;=8),"Passives",AND(O165&gt;8,O165&lt;=10),"Promoters",O165="Not Available","NA")</f>
        <v>Detractors</v>
      </c>
    </row>
    <row r="166" spans="1:16" ht="14.25" customHeight="1" x14ac:dyDescent="0.3">
      <c r="A166" s="42" t="s">
        <v>192</v>
      </c>
      <c r="B166" s="2" t="s">
        <v>21</v>
      </c>
      <c r="C166" s="2" t="s">
        <v>30</v>
      </c>
      <c r="D166" s="3">
        <v>45931</v>
      </c>
      <c r="E166" s="3">
        <v>45932</v>
      </c>
      <c r="F166" s="3">
        <v>45933</v>
      </c>
      <c r="G166" s="3">
        <v>45939</v>
      </c>
      <c r="H166" s="23" t="str">
        <f t="shared" si="2"/>
        <v>Delivered</v>
      </c>
      <c r="I166" s="2" t="s">
        <v>17</v>
      </c>
      <c r="J166" s="24" t="s">
        <v>1054</v>
      </c>
      <c r="K166" s="3">
        <v>45957</v>
      </c>
      <c r="L166" s="2">
        <v>1</v>
      </c>
      <c r="M166" s="2">
        <v>1</v>
      </c>
      <c r="N166" s="2">
        <v>6</v>
      </c>
      <c r="O166" s="36">
        <v>6</v>
      </c>
      <c r="P166" s="24" t="str" cm="1">
        <f t="array" ref="P166">_xlfn.IFS(O166&lt;=6,"Detractors",AND(O166&gt;=7,O166&lt;=8),"Passives",AND(O166&gt;8,O166&lt;=10),"Promoters",O166="Not Available","NA")</f>
        <v>Detractors</v>
      </c>
    </row>
    <row r="167" spans="1:16" ht="14.25" customHeight="1" x14ac:dyDescent="0.3">
      <c r="A167" s="2" t="s">
        <v>193</v>
      </c>
      <c r="B167" s="2" t="s">
        <v>21</v>
      </c>
      <c r="C167" s="2" t="s">
        <v>16</v>
      </c>
      <c r="D167" s="3">
        <v>45949</v>
      </c>
      <c r="E167" s="3">
        <v>45950</v>
      </c>
      <c r="F167" s="3">
        <v>45951</v>
      </c>
      <c r="G167" s="3">
        <v>45953</v>
      </c>
      <c r="H167" s="23" t="str">
        <f t="shared" si="2"/>
        <v>Delivered</v>
      </c>
      <c r="I167" s="2" t="s">
        <v>17</v>
      </c>
      <c r="J167" s="24" t="s">
        <v>1054</v>
      </c>
      <c r="K167" s="3">
        <v>45966</v>
      </c>
      <c r="L167" s="2">
        <v>1</v>
      </c>
      <c r="M167" s="2">
        <v>1</v>
      </c>
      <c r="N167" s="2">
        <v>2</v>
      </c>
      <c r="O167" s="36">
        <v>2</v>
      </c>
      <c r="P167" s="24" t="str" cm="1">
        <f t="array" ref="P167">_xlfn.IFS(O167&lt;=6,"Detractors",AND(O167&gt;=7,O167&lt;=8),"Passives",AND(O167&gt;8,O167&lt;=10),"Promoters",O167="Not Available","NA")</f>
        <v>Detractors</v>
      </c>
    </row>
    <row r="168" spans="1:16" ht="14.25" customHeight="1" x14ac:dyDescent="0.3">
      <c r="A168" s="2" t="s">
        <v>194</v>
      </c>
      <c r="B168" s="2" t="s">
        <v>32</v>
      </c>
      <c r="C168" s="2" t="s">
        <v>16</v>
      </c>
      <c r="D168" s="3">
        <v>45940</v>
      </c>
      <c r="E168" s="3">
        <v>45944</v>
      </c>
      <c r="F168" s="3">
        <v>45949</v>
      </c>
      <c r="G168" s="3">
        <v>45955</v>
      </c>
      <c r="H168" s="23" t="str">
        <f t="shared" si="2"/>
        <v>Delivered</v>
      </c>
      <c r="I168" s="2" t="s">
        <v>23</v>
      </c>
      <c r="J168" s="2" t="s">
        <v>33</v>
      </c>
      <c r="L168" s="2">
        <v>4</v>
      </c>
      <c r="M168" s="2">
        <v>5</v>
      </c>
      <c r="N168" s="2">
        <v>6</v>
      </c>
      <c r="O168" t="s">
        <v>1080</v>
      </c>
      <c r="P168" s="24" t="str" cm="1">
        <f t="array" ref="P168">_xlfn.IFS(O168&lt;=6,"Detractors",AND(O168&gt;=7,O168&lt;=8),"Passives",AND(O168&gt;8,O168&lt;=10),"Promoters",O168="Not Available","NA")</f>
        <v>NA</v>
      </c>
    </row>
    <row r="169" spans="1:16" ht="14.25" customHeight="1" x14ac:dyDescent="0.3">
      <c r="A169" s="2" t="s">
        <v>195</v>
      </c>
      <c r="B169" s="2" t="s">
        <v>21</v>
      </c>
      <c r="C169" s="2" t="s">
        <v>30</v>
      </c>
      <c r="D169" s="3">
        <v>45946</v>
      </c>
      <c r="E169" s="3">
        <v>45950</v>
      </c>
      <c r="F169" s="3">
        <v>45952</v>
      </c>
      <c r="G169" s="3">
        <v>45954</v>
      </c>
      <c r="H169" s="23" t="str">
        <f t="shared" si="2"/>
        <v>Delivered</v>
      </c>
      <c r="I169" s="2" t="s">
        <v>23</v>
      </c>
      <c r="J169" s="2" t="s">
        <v>101</v>
      </c>
      <c r="L169" s="2">
        <v>4</v>
      </c>
      <c r="M169" s="2">
        <v>2</v>
      </c>
      <c r="N169" s="2">
        <v>2</v>
      </c>
      <c r="O169" t="s">
        <v>1080</v>
      </c>
      <c r="P169" s="24" t="str" cm="1">
        <f t="array" ref="P169">_xlfn.IFS(O169&lt;=6,"Detractors",AND(O169&gt;=7,O169&lt;=8),"Passives",AND(O169&gt;8,O169&lt;=10),"Promoters",O169="Not Available","NA")</f>
        <v>NA</v>
      </c>
    </row>
    <row r="170" spans="1:16" ht="14.25" customHeight="1" x14ac:dyDescent="0.3">
      <c r="A170" s="2" t="s">
        <v>196</v>
      </c>
      <c r="B170" s="2" t="s">
        <v>21</v>
      </c>
      <c r="C170" s="2" t="s">
        <v>16</v>
      </c>
      <c r="D170" s="3">
        <v>45946</v>
      </c>
      <c r="E170" s="3">
        <v>45948</v>
      </c>
      <c r="F170" s="3">
        <v>45953</v>
      </c>
      <c r="G170" s="3">
        <v>45957</v>
      </c>
      <c r="H170" s="23" t="str">
        <f t="shared" si="2"/>
        <v>Delivered</v>
      </c>
      <c r="I170" s="2" t="s">
        <v>17</v>
      </c>
      <c r="J170" s="24" t="s">
        <v>1054</v>
      </c>
      <c r="K170" s="3">
        <v>45969</v>
      </c>
      <c r="L170" s="2">
        <v>2</v>
      </c>
      <c r="M170" s="2">
        <v>5</v>
      </c>
      <c r="N170" s="2">
        <v>4</v>
      </c>
      <c r="O170" s="36">
        <v>5</v>
      </c>
      <c r="P170" s="24" t="str" cm="1">
        <f t="array" ref="P170">_xlfn.IFS(O170&lt;=6,"Detractors",AND(O170&gt;=7,O170&lt;=8),"Passives",AND(O170&gt;8,O170&lt;=10),"Promoters",O170="Not Available","NA")</f>
        <v>Detractors</v>
      </c>
    </row>
    <row r="171" spans="1:16" ht="14.25" customHeight="1" x14ac:dyDescent="0.3">
      <c r="A171" s="42" t="s">
        <v>197</v>
      </c>
      <c r="B171" s="2" t="s">
        <v>19</v>
      </c>
      <c r="C171" s="2" t="s">
        <v>30</v>
      </c>
      <c r="D171" s="3">
        <v>45945</v>
      </c>
      <c r="E171" s="3">
        <v>45947</v>
      </c>
      <c r="F171" s="3">
        <v>45948</v>
      </c>
      <c r="G171" s="3">
        <v>45954</v>
      </c>
      <c r="H171" s="23" t="str">
        <f t="shared" si="2"/>
        <v>Delivered</v>
      </c>
      <c r="I171" s="2" t="s">
        <v>17</v>
      </c>
      <c r="J171" s="24" t="s">
        <v>1054</v>
      </c>
      <c r="K171" s="3">
        <v>45974</v>
      </c>
      <c r="L171" s="2">
        <v>2</v>
      </c>
      <c r="M171" s="2">
        <v>1</v>
      </c>
      <c r="N171" s="2">
        <v>6</v>
      </c>
      <c r="O171" s="36">
        <v>2</v>
      </c>
      <c r="P171" s="24" t="str" cm="1">
        <f t="array" ref="P171">_xlfn.IFS(O171&lt;=6,"Detractors",AND(O171&gt;=7,O171&lt;=8),"Passives",AND(O171&gt;8,O171&lt;=10),"Promoters",O171="Not Available","NA")</f>
        <v>Detractors</v>
      </c>
    </row>
    <row r="172" spans="1:16" ht="14.25" customHeight="1" x14ac:dyDescent="0.3">
      <c r="A172" s="2" t="s">
        <v>198</v>
      </c>
      <c r="B172" s="2" t="s">
        <v>32</v>
      </c>
      <c r="C172" s="2" t="s">
        <v>22</v>
      </c>
      <c r="D172" s="3">
        <v>45941</v>
      </c>
      <c r="H172" s="23" t="str">
        <f t="shared" si="2"/>
        <v>Not Delivered</v>
      </c>
      <c r="I172" s="2" t="s">
        <v>23</v>
      </c>
      <c r="J172" s="2" t="s">
        <v>26</v>
      </c>
      <c r="L172">
        <v>0</v>
      </c>
      <c r="M172">
        <v>0</v>
      </c>
      <c r="N172">
        <v>0</v>
      </c>
      <c r="O172" t="s">
        <v>1080</v>
      </c>
      <c r="P172" s="24" t="str" cm="1">
        <f t="array" ref="P172">_xlfn.IFS(O172&lt;=6,"Detractors",AND(O172&gt;=7,O172&lt;=8),"Passives",AND(O172&gt;8,O172&lt;=10),"Promoters",O172="Not Available","NA")</f>
        <v>NA</v>
      </c>
    </row>
    <row r="173" spans="1:16" ht="14.25" customHeight="1" x14ac:dyDescent="0.3">
      <c r="A173" s="42" t="s">
        <v>199</v>
      </c>
      <c r="B173" s="2" t="s">
        <v>32</v>
      </c>
      <c r="C173" s="2" t="s">
        <v>30</v>
      </c>
      <c r="D173" s="3">
        <v>45936</v>
      </c>
      <c r="E173" s="3">
        <v>45940</v>
      </c>
      <c r="F173" s="3">
        <v>45942</v>
      </c>
      <c r="G173" s="3">
        <v>45946</v>
      </c>
      <c r="H173" s="23" t="str">
        <f t="shared" si="2"/>
        <v>Delivered</v>
      </c>
      <c r="I173" s="2" t="s">
        <v>17</v>
      </c>
      <c r="J173" s="24" t="s">
        <v>1054</v>
      </c>
      <c r="K173" s="3">
        <v>45961</v>
      </c>
      <c r="L173" s="2">
        <v>4</v>
      </c>
      <c r="M173" s="2">
        <v>2</v>
      </c>
      <c r="N173" s="2">
        <v>4</v>
      </c>
      <c r="O173" s="36">
        <v>1</v>
      </c>
      <c r="P173" s="24" t="str" cm="1">
        <f t="array" ref="P173">_xlfn.IFS(O173&lt;=6,"Detractors",AND(O173&gt;=7,O173&lt;=8),"Passives",AND(O173&gt;8,O173&lt;=10),"Promoters",O173="Not Available","NA")</f>
        <v>Detractors</v>
      </c>
    </row>
    <row r="174" spans="1:16" ht="14.25" customHeight="1" x14ac:dyDescent="0.3">
      <c r="A174" s="42" t="s">
        <v>200</v>
      </c>
      <c r="B174" s="2" t="s">
        <v>32</v>
      </c>
      <c r="C174" s="2" t="s">
        <v>30</v>
      </c>
      <c r="D174" s="3">
        <v>45961</v>
      </c>
      <c r="E174" s="3">
        <v>45966</v>
      </c>
      <c r="F174" s="3">
        <v>45970</v>
      </c>
      <c r="G174" s="3">
        <v>45976</v>
      </c>
      <c r="H174" s="23" t="str">
        <f t="shared" si="2"/>
        <v>Delivered</v>
      </c>
      <c r="I174" s="2" t="s">
        <v>17</v>
      </c>
      <c r="J174" s="24" t="s">
        <v>1054</v>
      </c>
      <c r="K174" s="3">
        <v>45998</v>
      </c>
      <c r="L174" s="2">
        <v>5</v>
      </c>
      <c r="M174" s="2">
        <v>4</v>
      </c>
      <c r="N174" s="2">
        <v>6</v>
      </c>
      <c r="O174" s="36">
        <v>8</v>
      </c>
      <c r="P174" s="24" t="str" cm="1">
        <f t="array" ref="P174">_xlfn.IFS(O174&lt;=6,"Detractors",AND(O174&gt;=7,O174&lt;=8),"Passives",AND(O174&gt;8,O174&lt;=10),"Promoters",O174="Not Available","NA")</f>
        <v>Passives</v>
      </c>
    </row>
    <row r="175" spans="1:16" ht="14.25" customHeight="1" x14ac:dyDescent="0.3">
      <c r="A175" s="42" t="s">
        <v>201</v>
      </c>
      <c r="B175" s="2" t="s">
        <v>32</v>
      </c>
      <c r="C175" s="2" t="s">
        <v>30</v>
      </c>
      <c r="D175" s="3">
        <v>45932</v>
      </c>
      <c r="E175" s="3">
        <v>45934</v>
      </c>
      <c r="F175" s="3">
        <v>45936</v>
      </c>
      <c r="G175" s="3">
        <v>45938</v>
      </c>
      <c r="H175" s="23" t="str">
        <f t="shared" si="2"/>
        <v>Delivered</v>
      </c>
      <c r="I175" s="2" t="s">
        <v>17</v>
      </c>
      <c r="J175" s="24" t="s">
        <v>1054</v>
      </c>
      <c r="K175" s="3">
        <v>45953</v>
      </c>
      <c r="L175" s="2">
        <v>2</v>
      </c>
      <c r="M175" s="2">
        <v>2</v>
      </c>
      <c r="N175" s="2">
        <v>2</v>
      </c>
      <c r="O175" s="36">
        <v>6</v>
      </c>
      <c r="P175" s="24" t="str" cm="1">
        <f t="array" ref="P175">_xlfn.IFS(O175&lt;=6,"Detractors",AND(O175&gt;=7,O175&lt;=8),"Passives",AND(O175&gt;8,O175&lt;=10),"Promoters",O175="Not Available","NA")</f>
        <v>Detractors</v>
      </c>
    </row>
    <row r="176" spans="1:16" ht="14.25" customHeight="1" x14ac:dyDescent="0.3">
      <c r="A176" s="2" t="s">
        <v>202</v>
      </c>
      <c r="B176" s="2" t="s">
        <v>32</v>
      </c>
      <c r="C176" s="2" t="s">
        <v>16</v>
      </c>
      <c r="D176" s="3">
        <v>45939</v>
      </c>
      <c r="E176" s="3">
        <v>45944</v>
      </c>
      <c r="F176" s="3">
        <v>45945</v>
      </c>
      <c r="G176" s="3">
        <v>45952</v>
      </c>
      <c r="H176" s="23" t="str">
        <f t="shared" si="2"/>
        <v>Delivered</v>
      </c>
      <c r="I176" s="2" t="s">
        <v>17</v>
      </c>
      <c r="J176" s="24" t="s">
        <v>1054</v>
      </c>
      <c r="K176" s="3">
        <v>45964</v>
      </c>
      <c r="L176" s="2">
        <v>5</v>
      </c>
      <c r="M176" s="2">
        <v>1</v>
      </c>
      <c r="N176" s="2">
        <v>7</v>
      </c>
      <c r="O176" s="36">
        <v>6</v>
      </c>
      <c r="P176" s="24" t="str" cm="1">
        <f t="array" ref="P176">_xlfn.IFS(O176&lt;=6,"Detractors",AND(O176&gt;=7,O176&lt;=8),"Passives",AND(O176&gt;8,O176&lt;=10),"Promoters",O176="Not Available","NA")</f>
        <v>Detractors</v>
      </c>
    </row>
    <row r="177" spans="1:16" ht="14.25" customHeight="1" x14ac:dyDescent="0.3">
      <c r="A177" s="2" t="s">
        <v>203</v>
      </c>
      <c r="B177" s="2" t="s">
        <v>32</v>
      </c>
      <c r="C177" s="2" t="s">
        <v>22</v>
      </c>
      <c r="D177" s="3">
        <v>45961</v>
      </c>
      <c r="H177" s="23" t="str">
        <f t="shared" si="2"/>
        <v>Not Delivered</v>
      </c>
      <c r="I177" s="2" t="s">
        <v>23</v>
      </c>
      <c r="J177" s="2" t="s">
        <v>101</v>
      </c>
      <c r="L177">
        <v>0</v>
      </c>
      <c r="M177">
        <v>0</v>
      </c>
      <c r="N177">
        <v>0</v>
      </c>
      <c r="O177" t="s">
        <v>1080</v>
      </c>
      <c r="P177" s="24" t="str" cm="1">
        <f t="array" ref="P177">_xlfn.IFS(O177&lt;=6,"Detractors",AND(O177&gt;=7,O177&lt;=8),"Passives",AND(O177&gt;8,O177&lt;=10),"Promoters",O177="Not Available","NA")</f>
        <v>NA</v>
      </c>
    </row>
    <row r="178" spans="1:16" ht="14.25" customHeight="1" x14ac:dyDescent="0.3">
      <c r="A178" s="2" t="s">
        <v>204</v>
      </c>
      <c r="B178" s="2" t="s">
        <v>15</v>
      </c>
      <c r="C178" s="2" t="s">
        <v>16</v>
      </c>
      <c r="D178" s="3">
        <v>45958</v>
      </c>
      <c r="E178" s="3">
        <v>45963</v>
      </c>
      <c r="F178" s="3">
        <v>45967</v>
      </c>
      <c r="G178" s="3">
        <v>45972</v>
      </c>
      <c r="H178" s="23" t="str">
        <f t="shared" si="2"/>
        <v>Delivered</v>
      </c>
      <c r="I178" s="2" t="s">
        <v>17</v>
      </c>
      <c r="J178" s="24" t="s">
        <v>1054</v>
      </c>
      <c r="K178" s="3">
        <v>45999</v>
      </c>
      <c r="L178" s="2">
        <v>5</v>
      </c>
      <c r="M178" s="2">
        <v>4</v>
      </c>
      <c r="N178" s="2">
        <v>5</v>
      </c>
      <c r="O178" s="36">
        <v>3</v>
      </c>
      <c r="P178" s="24" t="str" cm="1">
        <f t="array" ref="P178">_xlfn.IFS(O178&lt;=6,"Detractors",AND(O178&gt;=7,O178&lt;=8),"Passives",AND(O178&gt;8,O178&lt;=10),"Promoters",O178="Not Available","NA")</f>
        <v>Detractors</v>
      </c>
    </row>
    <row r="179" spans="1:16" ht="14.25" customHeight="1" x14ac:dyDescent="0.3">
      <c r="A179" s="42" t="s">
        <v>205</v>
      </c>
      <c r="B179" s="2" t="s">
        <v>21</v>
      </c>
      <c r="C179" s="2" t="s">
        <v>30</v>
      </c>
      <c r="D179" s="3">
        <v>45946</v>
      </c>
      <c r="E179" s="3">
        <v>45949</v>
      </c>
      <c r="F179" s="3">
        <v>45953</v>
      </c>
      <c r="G179" s="3">
        <v>45959</v>
      </c>
      <c r="H179" s="23" t="str">
        <f t="shared" si="2"/>
        <v>Delivered</v>
      </c>
      <c r="I179" s="2" t="s">
        <v>17</v>
      </c>
      <c r="J179" s="24" t="s">
        <v>1054</v>
      </c>
      <c r="K179" s="3">
        <v>45971</v>
      </c>
      <c r="L179" s="2">
        <v>3</v>
      </c>
      <c r="M179" s="2">
        <v>4</v>
      </c>
      <c r="N179" s="2">
        <v>6</v>
      </c>
      <c r="O179" s="36">
        <v>5</v>
      </c>
      <c r="P179" s="24" t="str" cm="1">
        <f t="array" ref="P179">_xlfn.IFS(O179&lt;=6,"Detractors",AND(O179&gt;=7,O179&lt;=8),"Passives",AND(O179&gt;8,O179&lt;=10),"Promoters",O179="Not Available","NA")</f>
        <v>Detractors</v>
      </c>
    </row>
    <row r="180" spans="1:16" ht="14.25" customHeight="1" x14ac:dyDescent="0.3">
      <c r="A180" s="2" t="s">
        <v>206</v>
      </c>
      <c r="B180" s="2" t="s">
        <v>32</v>
      </c>
      <c r="C180" s="2" t="s">
        <v>16</v>
      </c>
      <c r="D180" s="3">
        <v>45934</v>
      </c>
      <c r="E180" s="3">
        <v>45935</v>
      </c>
      <c r="F180" s="3">
        <v>45937</v>
      </c>
      <c r="G180" s="3">
        <v>45940</v>
      </c>
      <c r="H180" s="23" t="str">
        <f t="shared" si="2"/>
        <v>Delivered</v>
      </c>
      <c r="I180" s="2" t="s">
        <v>17</v>
      </c>
      <c r="J180" s="24" t="s">
        <v>1054</v>
      </c>
      <c r="K180" s="3">
        <v>45960</v>
      </c>
      <c r="L180" s="2">
        <v>1</v>
      </c>
      <c r="M180" s="2">
        <v>2</v>
      </c>
      <c r="N180" s="2">
        <v>3</v>
      </c>
      <c r="O180" s="36">
        <v>9</v>
      </c>
      <c r="P180" s="24" t="str" cm="1">
        <f t="array" ref="P180">_xlfn.IFS(O180&lt;=6,"Detractors",AND(O180&gt;=7,O180&lt;=8),"Passives",AND(O180&gt;8,O180&lt;=10),"Promoters",O180="Not Available","NA")</f>
        <v>Promoters</v>
      </c>
    </row>
    <row r="181" spans="1:16" ht="14.25" customHeight="1" x14ac:dyDescent="0.3">
      <c r="A181" s="2" t="s">
        <v>207</v>
      </c>
      <c r="B181" s="2" t="s">
        <v>21</v>
      </c>
      <c r="C181" s="2" t="s">
        <v>16</v>
      </c>
      <c r="D181" s="3">
        <v>45957</v>
      </c>
      <c r="E181" s="3">
        <v>45961</v>
      </c>
      <c r="F181" s="3">
        <v>45964</v>
      </c>
      <c r="G181" s="3">
        <v>45969</v>
      </c>
      <c r="H181" s="23" t="str">
        <f t="shared" si="2"/>
        <v>Delivered</v>
      </c>
      <c r="I181" s="2" t="s">
        <v>17</v>
      </c>
      <c r="J181" s="24" t="s">
        <v>1054</v>
      </c>
      <c r="K181" s="3">
        <v>45998</v>
      </c>
      <c r="L181" s="2">
        <v>4</v>
      </c>
      <c r="M181" s="2">
        <v>3</v>
      </c>
      <c r="N181" s="2">
        <v>5</v>
      </c>
      <c r="O181" s="36">
        <v>4</v>
      </c>
      <c r="P181" s="24" t="str" cm="1">
        <f t="array" ref="P181">_xlfn.IFS(O181&lt;=6,"Detractors",AND(O181&gt;=7,O181&lt;=8),"Passives",AND(O181&gt;8,O181&lt;=10),"Promoters",O181="Not Available","NA")</f>
        <v>Detractors</v>
      </c>
    </row>
    <row r="182" spans="1:16" ht="14.25" customHeight="1" x14ac:dyDescent="0.3">
      <c r="A182" s="42" t="s">
        <v>208</v>
      </c>
      <c r="B182" s="2" t="s">
        <v>21</v>
      </c>
      <c r="C182" s="2" t="s">
        <v>30</v>
      </c>
      <c r="D182" s="3">
        <v>45933</v>
      </c>
      <c r="E182" s="3">
        <v>45934</v>
      </c>
      <c r="F182" s="3">
        <v>45935</v>
      </c>
      <c r="G182" s="3">
        <v>45937</v>
      </c>
      <c r="H182" s="23" t="str">
        <f t="shared" si="2"/>
        <v>Delivered</v>
      </c>
      <c r="I182" s="2" t="s">
        <v>17</v>
      </c>
      <c r="J182" s="24" t="s">
        <v>1054</v>
      </c>
      <c r="K182" s="3">
        <v>45966</v>
      </c>
      <c r="L182" s="2">
        <v>1</v>
      </c>
      <c r="M182" s="2">
        <v>1</v>
      </c>
      <c r="N182" s="2">
        <v>2</v>
      </c>
      <c r="O182" s="36">
        <v>1</v>
      </c>
      <c r="P182" s="24" t="str" cm="1">
        <f t="array" ref="P182">_xlfn.IFS(O182&lt;=6,"Detractors",AND(O182&gt;=7,O182&lt;=8),"Passives",AND(O182&gt;8,O182&lt;=10),"Promoters",O182="Not Available","NA")</f>
        <v>Detractors</v>
      </c>
    </row>
    <row r="183" spans="1:16" ht="14.25" customHeight="1" x14ac:dyDescent="0.3">
      <c r="A183" s="2" t="s">
        <v>209</v>
      </c>
      <c r="B183" s="2" t="s">
        <v>15</v>
      </c>
      <c r="C183" s="2" t="s">
        <v>16</v>
      </c>
      <c r="D183" s="3">
        <v>45943</v>
      </c>
      <c r="E183" s="3">
        <v>45947</v>
      </c>
      <c r="F183" s="3">
        <v>45948</v>
      </c>
      <c r="G183" s="3">
        <v>45955</v>
      </c>
      <c r="H183" s="23" t="str">
        <f t="shared" si="2"/>
        <v>Delivered</v>
      </c>
      <c r="I183" s="2" t="s">
        <v>17</v>
      </c>
      <c r="J183" s="24" t="s">
        <v>1054</v>
      </c>
      <c r="K183" s="3">
        <v>45980</v>
      </c>
      <c r="L183" s="2">
        <v>4</v>
      </c>
      <c r="M183" s="2">
        <v>1</v>
      </c>
      <c r="N183" s="2">
        <v>7</v>
      </c>
      <c r="O183" s="36">
        <v>4</v>
      </c>
      <c r="P183" s="24" t="str" cm="1">
        <f t="array" ref="P183">_xlfn.IFS(O183&lt;=6,"Detractors",AND(O183&gt;=7,O183&lt;=8),"Passives",AND(O183&gt;8,O183&lt;=10),"Promoters",O183="Not Available","NA")</f>
        <v>Detractors</v>
      </c>
    </row>
    <row r="184" spans="1:16" ht="14.25" customHeight="1" x14ac:dyDescent="0.3">
      <c r="A184" s="2" t="s">
        <v>210</v>
      </c>
      <c r="B184" s="2" t="s">
        <v>32</v>
      </c>
      <c r="C184" s="2" t="s">
        <v>22</v>
      </c>
      <c r="D184" s="3">
        <v>45946</v>
      </c>
      <c r="H184" s="23" t="str">
        <f t="shared" si="2"/>
        <v>Not Delivered</v>
      </c>
      <c r="I184" s="2" t="s">
        <v>23</v>
      </c>
      <c r="J184" s="2" t="s">
        <v>26</v>
      </c>
      <c r="L184">
        <v>0</v>
      </c>
      <c r="M184">
        <v>0</v>
      </c>
      <c r="N184">
        <v>0</v>
      </c>
      <c r="O184" t="s">
        <v>1080</v>
      </c>
      <c r="P184" s="24" t="str" cm="1">
        <f t="array" ref="P184">_xlfn.IFS(O184&lt;=6,"Detractors",AND(O184&gt;=7,O184&lt;=8),"Passives",AND(O184&gt;8,O184&lt;=10),"Promoters",O184="Not Available","NA")</f>
        <v>NA</v>
      </c>
    </row>
    <row r="185" spans="1:16" ht="14.25" customHeight="1" x14ac:dyDescent="0.3">
      <c r="A185" s="42" t="s">
        <v>211</v>
      </c>
      <c r="B185" s="2" t="s">
        <v>19</v>
      </c>
      <c r="C185" s="2" t="s">
        <v>30</v>
      </c>
      <c r="D185" s="3">
        <v>45933</v>
      </c>
      <c r="E185" s="3">
        <v>45934</v>
      </c>
      <c r="F185" s="3">
        <v>45937</v>
      </c>
      <c r="G185" s="3">
        <v>45944</v>
      </c>
      <c r="H185" s="23" t="str">
        <f t="shared" si="2"/>
        <v>Delivered</v>
      </c>
      <c r="I185" s="2" t="s">
        <v>17</v>
      </c>
      <c r="J185" s="24" t="s">
        <v>1054</v>
      </c>
      <c r="K185" s="3">
        <v>45954</v>
      </c>
      <c r="L185" s="2">
        <v>1</v>
      </c>
      <c r="M185" s="2">
        <v>3</v>
      </c>
      <c r="N185" s="2">
        <v>7</v>
      </c>
      <c r="O185" s="36">
        <v>6</v>
      </c>
      <c r="P185" s="24" t="str" cm="1">
        <f t="array" ref="P185">_xlfn.IFS(O185&lt;=6,"Detractors",AND(O185&gt;=7,O185&lt;=8),"Passives",AND(O185&gt;8,O185&lt;=10),"Promoters",O185="Not Available","NA")</f>
        <v>Detractors</v>
      </c>
    </row>
    <row r="186" spans="1:16" ht="14.25" customHeight="1" x14ac:dyDescent="0.3">
      <c r="A186" s="2" t="s">
        <v>212</v>
      </c>
      <c r="B186" s="2" t="s">
        <v>15</v>
      </c>
      <c r="C186" s="2" t="s">
        <v>16</v>
      </c>
      <c r="D186" s="3">
        <v>45949</v>
      </c>
      <c r="E186" s="3">
        <v>45953</v>
      </c>
      <c r="F186" s="3">
        <v>45958</v>
      </c>
      <c r="G186" s="3">
        <v>45961</v>
      </c>
      <c r="H186" s="23" t="str">
        <f t="shared" si="2"/>
        <v>Delivered</v>
      </c>
      <c r="I186" s="2" t="s">
        <v>17</v>
      </c>
      <c r="J186" s="24" t="s">
        <v>1054</v>
      </c>
      <c r="K186" s="3">
        <v>45984</v>
      </c>
      <c r="L186" s="2">
        <v>4</v>
      </c>
      <c r="M186" s="2">
        <v>5</v>
      </c>
      <c r="N186" s="2">
        <v>3</v>
      </c>
      <c r="O186" s="36">
        <v>3</v>
      </c>
      <c r="P186" s="24" t="str" cm="1">
        <f t="array" ref="P186">_xlfn.IFS(O186&lt;=6,"Detractors",AND(O186&gt;=7,O186&lt;=8),"Passives",AND(O186&gt;8,O186&lt;=10),"Promoters",O186="Not Available","NA")</f>
        <v>Detractors</v>
      </c>
    </row>
    <row r="187" spans="1:16" ht="14.25" customHeight="1" x14ac:dyDescent="0.3">
      <c r="A187" s="2" t="s">
        <v>213</v>
      </c>
      <c r="B187" s="2" t="s">
        <v>19</v>
      </c>
      <c r="C187" s="2" t="s">
        <v>16</v>
      </c>
      <c r="D187" s="3">
        <v>45951</v>
      </c>
      <c r="E187" s="3">
        <v>45952</v>
      </c>
      <c r="F187" s="3">
        <v>45957</v>
      </c>
      <c r="G187" s="3">
        <v>45961</v>
      </c>
      <c r="H187" s="23" t="str">
        <f t="shared" si="2"/>
        <v>Delivered</v>
      </c>
      <c r="I187" s="2" t="s">
        <v>17</v>
      </c>
      <c r="J187" s="24" t="s">
        <v>1054</v>
      </c>
      <c r="K187" s="3">
        <v>45991</v>
      </c>
      <c r="L187" s="2">
        <v>1</v>
      </c>
      <c r="M187" s="2">
        <v>5</v>
      </c>
      <c r="N187" s="2">
        <v>4</v>
      </c>
      <c r="O187" s="36">
        <v>2</v>
      </c>
      <c r="P187" s="24" t="str" cm="1">
        <f t="array" ref="P187">_xlfn.IFS(O187&lt;=6,"Detractors",AND(O187&gt;=7,O187&lt;=8),"Passives",AND(O187&gt;8,O187&lt;=10),"Promoters",O187="Not Available","NA")</f>
        <v>Detractors</v>
      </c>
    </row>
    <row r="188" spans="1:16" ht="14.25" customHeight="1" x14ac:dyDescent="0.3">
      <c r="A188" s="2" t="s">
        <v>214</v>
      </c>
      <c r="B188" s="2" t="s">
        <v>21</v>
      </c>
      <c r="C188" s="2" t="s">
        <v>16</v>
      </c>
      <c r="D188" s="3">
        <v>45952</v>
      </c>
      <c r="E188" s="3">
        <v>45955</v>
      </c>
      <c r="F188" s="3">
        <v>45956</v>
      </c>
      <c r="G188" s="3">
        <v>45958</v>
      </c>
      <c r="H188" s="23" t="str">
        <f t="shared" si="2"/>
        <v>Delivered</v>
      </c>
      <c r="I188" s="2" t="s">
        <v>17</v>
      </c>
      <c r="J188" s="24" t="s">
        <v>1054</v>
      </c>
      <c r="K188" s="3">
        <v>45973</v>
      </c>
      <c r="L188" s="2">
        <v>3</v>
      </c>
      <c r="M188" s="2">
        <v>1</v>
      </c>
      <c r="N188" s="2">
        <v>2</v>
      </c>
      <c r="O188" s="36">
        <v>3</v>
      </c>
      <c r="P188" s="24" t="str" cm="1">
        <f t="array" ref="P188">_xlfn.IFS(O188&lt;=6,"Detractors",AND(O188&gt;=7,O188&lt;=8),"Passives",AND(O188&gt;8,O188&lt;=10),"Promoters",O188="Not Available","NA")</f>
        <v>Detractors</v>
      </c>
    </row>
    <row r="189" spans="1:16" ht="14.25" customHeight="1" x14ac:dyDescent="0.3">
      <c r="A189" s="42" t="s">
        <v>215</v>
      </c>
      <c r="B189" s="2" t="s">
        <v>21</v>
      </c>
      <c r="C189" s="2" t="s">
        <v>30</v>
      </c>
      <c r="D189" s="3">
        <v>45932</v>
      </c>
      <c r="E189" s="3">
        <v>45937</v>
      </c>
      <c r="F189" s="3">
        <v>45940</v>
      </c>
      <c r="G189" s="3">
        <v>45945</v>
      </c>
      <c r="H189" s="23" t="str">
        <f t="shared" si="2"/>
        <v>Delivered</v>
      </c>
      <c r="I189" s="2" t="s">
        <v>17</v>
      </c>
      <c r="J189" s="24" t="s">
        <v>1054</v>
      </c>
      <c r="K189" s="3">
        <v>45974</v>
      </c>
      <c r="L189" s="2">
        <v>5</v>
      </c>
      <c r="M189" s="2">
        <v>3</v>
      </c>
      <c r="N189" s="2">
        <v>5</v>
      </c>
      <c r="O189" s="36">
        <v>7</v>
      </c>
      <c r="P189" s="24" t="str" cm="1">
        <f t="array" ref="P189">_xlfn.IFS(O189&lt;=6,"Detractors",AND(O189&gt;=7,O189&lt;=8),"Passives",AND(O189&gt;8,O189&lt;=10),"Promoters",O189="Not Available","NA")</f>
        <v>Passives</v>
      </c>
    </row>
    <row r="190" spans="1:16" ht="14.25" customHeight="1" x14ac:dyDescent="0.3">
      <c r="A190" s="42" t="s">
        <v>216</v>
      </c>
      <c r="B190" s="2" t="s">
        <v>15</v>
      </c>
      <c r="C190" s="2" t="s">
        <v>30</v>
      </c>
      <c r="D190" s="3">
        <v>45935</v>
      </c>
      <c r="E190" s="3">
        <v>45939</v>
      </c>
      <c r="F190" s="3">
        <v>45942</v>
      </c>
      <c r="G190" s="3">
        <v>45946</v>
      </c>
      <c r="H190" s="23" t="str">
        <f t="shared" si="2"/>
        <v>Delivered</v>
      </c>
      <c r="I190" s="2" t="s">
        <v>17</v>
      </c>
      <c r="J190" s="24" t="s">
        <v>1054</v>
      </c>
      <c r="K190" s="3">
        <v>45969</v>
      </c>
      <c r="L190" s="2">
        <v>4</v>
      </c>
      <c r="M190" s="2">
        <v>3</v>
      </c>
      <c r="N190" s="2">
        <v>4</v>
      </c>
      <c r="O190" s="36">
        <v>9</v>
      </c>
      <c r="P190" s="24" t="str" cm="1">
        <f t="array" ref="P190">_xlfn.IFS(O190&lt;=6,"Detractors",AND(O190&gt;=7,O190&lt;=8),"Passives",AND(O190&gt;8,O190&lt;=10),"Promoters",O190="Not Available","NA")</f>
        <v>Promoters</v>
      </c>
    </row>
    <row r="191" spans="1:16" ht="14.25" customHeight="1" x14ac:dyDescent="0.3">
      <c r="A191" s="2" t="s">
        <v>217</v>
      </c>
      <c r="B191" s="2" t="s">
        <v>15</v>
      </c>
      <c r="C191" s="2" t="s">
        <v>22</v>
      </c>
      <c r="D191" s="3">
        <v>45935</v>
      </c>
      <c r="H191" s="23" t="str">
        <f t="shared" si="2"/>
        <v>Not Delivered</v>
      </c>
      <c r="I191" s="2" t="s">
        <v>23</v>
      </c>
      <c r="J191" s="2" t="s">
        <v>26</v>
      </c>
      <c r="L191">
        <v>0</v>
      </c>
      <c r="M191">
        <v>0</v>
      </c>
      <c r="N191">
        <v>0</v>
      </c>
      <c r="O191" t="s">
        <v>1080</v>
      </c>
      <c r="P191" s="24" t="str" cm="1">
        <f t="array" ref="P191">_xlfn.IFS(O191&lt;=6,"Detractors",AND(O191&gt;=7,O191&lt;=8),"Passives",AND(O191&gt;8,O191&lt;=10),"Promoters",O191="Not Available","NA")</f>
        <v>NA</v>
      </c>
    </row>
    <row r="192" spans="1:16" ht="14.25" customHeight="1" x14ac:dyDescent="0.3">
      <c r="A192" s="2" t="s">
        <v>218</v>
      </c>
      <c r="B192" s="2" t="s">
        <v>19</v>
      </c>
      <c r="C192" s="2" t="s">
        <v>22</v>
      </c>
      <c r="D192" s="3">
        <v>45956</v>
      </c>
      <c r="H192" s="23" t="str">
        <f t="shared" si="2"/>
        <v>Not Delivered</v>
      </c>
      <c r="I192" s="2" t="s">
        <v>23</v>
      </c>
      <c r="J192" s="2" t="s">
        <v>24</v>
      </c>
      <c r="L192">
        <v>0</v>
      </c>
      <c r="M192">
        <v>0</v>
      </c>
      <c r="N192">
        <v>0</v>
      </c>
      <c r="O192" t="s">
        <v>1080</v>
      </c>
      <c r="P192" s="24" t="str" cm="1">
        <f t="array" ref="P192">_xlfn.IFS(O192&lt;=6,"Detractors",AND(O192&gt;=7,O192&lt;=8),"Passives",AND(O192&gt;8,O192&lt;=10),"Promoters",O192="Not Available","NA")</f>
        <v>NA</v>
      </c>
    </row>
    <row r="193" spans="1:16" ht="14.25" customHeight="1" x14ac:dyDescent="0.3">
      <c r="A193" s="2" t="s">
        <v>219</v>
      </c>
      <c r="B193" s="2" t="s">
        <v>32</v>
      </c>
      <c r="C193" s="2" t="s">
        <v>16</v>
      </c>
      <c r="D193" s="3">
        <v>45949</v>
      </c>
      <c r="E193" s="3">
        <v>45954</v>
      </c>
      <c r="F193" s="3">
        <v>45958</v>
      </c>
      <c r="G193" s="3">
        <v>45962</v>
      </c>
      <c r="H193" s="23" t="str">
        <f t="shared" si="2"/>
        <v>Delivered</v>
      </c>
      <c r="I193" s="2" t="s">
        <v>17</v>
      </c>
      <c r="J193" s="24" t="s">
        <v>1054</v>
      </c>
      <c r="K193" s="3">
        <v>45977</v>
      </c>
      <c r="L193" s="2">
        <v>5</v>
      </c>
      <c r="M193" s="2">
        <v>4</v>
      </c>
      <c r="N193" s="2">
        <v>4</v>
      </c>
      <c r="O193" s="36">
        <v>10</v>
      </c>
      <c r="P193" s="24" t="str" cm="1">
        <f t="array" ref="P193">_xlfn.IFS(O193&lt;=6,"Detractors",AND(O193&gt;=7,O193&lt;=8),"Passives",AND(O193&gt;8,O193&lt;=10),"Promoters",O193="Not Available","NA")</f>
        <v>Promoters</v>
      </c>
    </row>
    <row r="194" spans="1:16" ht="14.25" customHeight="1" x14ac:dyDescent="0.3">
      <c r="A194" s="2" t="s">
        <v>220</v>
      </c>
      <c r="B194" s="2" t="s">
        <v>19</v>
      </c>
      <c r="C194" s="2" t="s">
        <v>16</v>
      </c>
      <c r="D194" s="3">
        <v>45961</v>
      </c>
      <c r="E194" s="3">
        <v>45965</v>
      </c>
      <c r="F194" s="3">
        <v>45970</v>
      </c>
      <c r="G194" s="3">
        <v>45972</v>
      </c>
      <c r="H194" s="23" t="str">
        <f t="shared" si="2"/>
        <v>Delivered</v>
      </c>
      <c r="I194" s="2" t="s">
        <v>23</v>
      </c>
      <c r="J194" s="2" t="s">
        <v>33</v>
      </c>
      <c r="L194" s="2">
        <v>4</v>
      </c>
      <c r="M194" s="2">
        <v>5</v>
      </c>
      <c r="N194" s="2">
        <v>2</v>
      </c>
      <c r="O194" t="s">
        <v>1080</v>
      </c>
      <c r="P194" s="24" t="str" cm="1">
        <f t="array" ref="P194">_xlfn.IFS(O194&lt;=6,"Detractors",AND(O194&gt;=7,O194&lt;=8),"Passives",AND(O194&gt;8,O194&lt;=10),"Promoters",O194="Not Available","NA")</f>
        <v>NA</v>
      </c>
    </row>
    <row r="195" spans="1:16" ht="14.25" customHeight="1" x14ac:dyDescent="0.3">
      <c r="A195" s="2" t="s">
        <v>221</v>
      </c>
      <c r="B195" s="2" t="s">
        <v>15</v>
      </c>
      <c r="C195" s="2" t="s">
        <v>16</v>
      </c>
      <c r="D195" s="3">
        <v>45940</v>
      </c>
      <c r="E195" s="3">
        <v>45944</v>
      </c>
      <c r="F195" s="3">
        <v>45949</v>
      </c>
      <c r="G195" s="3">
        <v>45954</v>
      </c>
      <c r="H195" s="23" t="str">
        <f t="shared" ref="H195:H258" si="3">IF(G195="", "Not Delivered", "Delivered")</f>
        <v>Delivered</v>
      </c>
      <c r="I195" s="2" t="s">
        <v>17</v>
      </c>
      <c r="J195" s="24" t="s">
        <v>1054</v>
      </c>
      <c r="K195" s="3">
        <v>45965</v>
      </c>
      <c r="L195" s="2">
        <v>4</v>
      </c>
      <c r="M195" s="2">
        <v>5</v>
      </c>
      <c r="N195" s="2">
        <v>5</v>
      </c>
      <c r="O195" s="36">
        <v>5</v>
      </c>
      <c r="P195" s="24" t="str" cm="1">
        <f t="array" ref="P195">_xlfn.IFS(O195&lt;=6,"Detractors",AND(O195&gt;=7,O195&lt;=8),"Passives",AND(O195&gt;8,O195&lt;=10),"Promoters",O195="Not Available","NA")</f>
        <v>Detractors</v>
      </c>
    </row>
    <row r="196" spans="1:16" ht="14.25" customHeight="1" x14ac:dyDescent="0.3">
      <c r="A196" s="2" t="s">
        <v>222</v>
      </c>
      <c r="B196" s="2" t="s">
        <v>19</v>
      </c>
      <c r="C196" s="2" t="s">
        <v>16</v>
      </c>
      <c r="D196" s="3">
        <v>45933</v>
      </c>
      <c r="E196" s="3">
        <v>45936</v>
      </c>
      <c r="F196" s="3">
        <v>45940</v>
      </c>
      <c r="G196" s="3">
        <v>45942</v>
      </c>
      <c r="H196" s="23" t="str">
        <f t="shared" si="3"/>
        <v>Delivered</v>
      </c>
      <c r="I196" s="2" t="s">
        <v>17</v>
      </c>
      <c r="J196" s="24" t="s">
        <v>1054</v>
      </c>
      <c r="K196" s="3">
        <v>45955</v>
      </c>
      <c r="L196" s="2">
        <v>3</v>
      </c>
      <c r="M196" s="2">
        <v>4</v>
      </c>
      <c r="N196" s="2">
        <v>2</v>
      </c>
      <c r="O196" s="36">
        <v>3</v>
      </c>
      <c r="P196" s="24" t="str" cm="1">
        <f t="array" ref="P196">_xlfn.IFS(O196&lt;=6,"Detractors",AND(O196&gt;=7,O196&lt;=8),"Passives",AND(O196&gt;8,O196&lt;=10),"Promoters",O196="Not Available","NA")</f>
        <v>Detractors</v>
      </c>
    </row>
    <row r="197" spans="1:16" ht="14.25" customHeight="1" x14ac:dyDescent="0.3">
      <c r="A197" s="2" t="s">
        <v>223</v>
      </c>
      <c r="B197" s="2" t="s">
        <v>15</v>
      </c>
      <c r="C197" s="2" t="s">
        <v>16</v>
      </c>
      <c r="D197" s="3">
        <v>45938</v>
      </c>
      <c r="E197" s="3">
        <v>45939</v>
      </c>
      <c r="F197" s="3">
        <v>45941</v>
      </c>
      <c r="G197" s="3">
        <v>45944</v>
      </c>
      <c r="H197" s="23" t="str">
        <f t="shared" si="3"/>
        <v>Delivered</v>
      </c>
      <c r="I197" s="2" t="s">
        <v>17</v>
      </c>
      <c r="J197" s="24" t="s">
        <v>1054</v>
      </c>
      <c r="K197" s="3">
        <v>45964</v>
      </c>
      <c r="L197" s="2">
        <v>1</v>
      </c>
      <c r="M197" s="2">
        <v>2</v>
      </c>
      <c r="N197" s="2">
        <v>3</v>
      </c>
      <c r="O197" s="36">
        <v>9</v>
      </c>
      <c r="P197" s="24" t="str" cm="1">
        <f t="array" ref="P197">_xlfn.IFS(O197&lt;=6,"Detractors",AND(O197&gt;=7,O197&lt;=8),"Passives",AND(O197&gt;8,O197&lt;=10),"Promoters",O197="Not Available","NA")</f>
        <v>Promoters</v>
      </c>
    </row>
    <row r="198" spans="1:16" ht="14.25" customHeight="1" x14ac:dyDescent="0.3">
      <c r="A198" s="42" t="s">
        <v>224</v>
      </c>
      <c r="B198" s="2" t="s">
        <v>19</v>
      </c>
      <c r="C198" s="2" t="s">
        <v>30</v>
      </c>
      <c r="D198" s="3">
        <v>45934</v>
      </c>
      <c r="E198" s="3">
        <v>45938</v>
      </c>
      <c r="F198" s="3">
        <v>45943</v>
      </c>
      <c r="G198" s="3">
        <v>45946</v>
      </c>
      <c r="H198" s="23" t="str">
        <f t="shared" si="3"/>
        <v>Delivered</v>
      </c>
      <c r="I198" s="2" t="s">
        <v>17</v>
      </c>
      <c r="J198" s="24" t="s">
        <v>1054</v>
      </c>
      <c r="K198" s="3">
        <v>45962</v>
      </c>
      <c r="L198" s="2">
        <v>4</v>
      </c>
      <c r="M198" s="2">
        <v>5</v>
      </c>
      <c r="N198" s="2">
        <v>3</v>
      </c>
      <c r="O198" s="36">
        <v>10</v>
      </c>
      <c r="P198" s="24" t="str" cm="1">
        <f t="array" ref="P198">_xlfn.IFS(O198&lt;=6,"Detractors",AND(O198&gt;=7,O198&lt;=8),"Passives",AND(O198&gt;8,O198&lt;=10),"Promoters",O198="Not Available","NA")</f>
        <v>Promoters</v>
      </c>
    </row>
    <row r="199" spans="1:16" ht="14.25" customHeight="1" x14ac:dyDescent="0.3">
      <c r="A199" s="2" t="s">
        <v>225</v>
      </c>
      <c r="B199" s="2" t="s">
        <v>15</v>
      </c>
      <c r="C199" s="2" t="s">
        <v>22</v>
      </c>
      <c r="D199" s="3">
        <v>45948</v>
      </c>
      <c r="H199" s="23" t="str">
        <f t="shared" si="3"/>
        <v>Not Delivered</v>
      </c>
      <c r="I199" s="2" t="s">
        <v>23</v>
      </c>
      <c r="J199" s="2" t="s">
        <v>33</v>
      </c>
      <c r="L199">
        <v>0</v>
      </c>
      <c r="M199">
        <v>0</v>
      </c>
      <c r="N199">
        <v>0</v>
      </c>
      <c r="O199" t="s">
        <v>1080</v>
      </c>
      <c r="P199" s="24" t="str" cm="1">
        <f t="array" ref="P199">_xlfn.IFS(O199&lt;=6,"Detractors",AND(O199&gt;=7,O199&lt;=8),"Passives",AND(O199&gt;8,O199&lt;=10),"Promoters",O199="Not Available","NA")</f>
        <v>NA</v>
      </c>
    </row>
    <row r="200" spans="1:16" ht="14.25" customHeight="1" x14ac:dyDescent="0.3">
      <c r="A200" s="2" t="s">
        <v>226</v>
      </c>
      <c r="B200" s="2" t="s">
        <v>15</v>
      </c>
      <c r="C200" s="2" t="s">
        <v>16</v>
      </c>
      <c r="D200" s="3">
        <v>45955</v>
      </c>
      <c r="E200" s="3">
        <v>45956</v>
      </c>
      <c r="F200" s="3">
        <v>45960</v>
      </c>
      <c r="G200" s="3">
        <v>45967</v>
      </c>
      <c r="H200" s="23" t="str">
        <f t="shared" si="3"/>
        <v>Delivered</v>
      </c>
      <c r="I200" s="2" t="s">
        <v>17</v>
      </c>
      <c r="J200" s="24" t="s">
        <v>1054</v>
      </c>
      <c r="K200" s="3">
        <v>45983</v>
      </c>
      <c r="L200" s="2">
        <v>1</v>
      </c>
      <c r="M200" s="2">
        <v>4</v>
      </c>
      <c r="N200" s="2">
        <v>7</v>
      </c>
      <c r="O200" s="36">
        <v>8</v>
      </c>
      <c r="P200" s="24" t="str" cm="1">
        <f t="array" ref="P200">_xlfn.IFS(O200&lt;=6,"Detractors",AND(O200&gt;=7,O200&lt;=8),"Passives",AND(O200&gt;8,O200&lt;=10),"Promoters",O200="Not Available","NA")</f>
        <v>Passives</v>
      </c>
    </row>
    <row r="201" spans="1:16" ht="14.25" customHeight="1" x14ac:dyDescent="0.3">
      <c r="A201" s="2" t="s">
        <v>227</v>
      </c>
      <c r="B201" s="2" t="s">
        <v>15</v>
      </c>
      <c r="C201" s="2" t="s">
        <v>22</v>
      </c>
      <c r="D201" s="3">
        <v>45944</v>
      </c>
      <c r="H201" s="23" t="str">
        <f t="shared" si="3"/>
        <v>Not Delivered</v>
      </c>
      <c r="I201" s="2" t="s">
        <v>23</v>
      </c>
      <c r="J201" s="2" t="s">
        <v>26</v>
      </c>
      <c r="L201">
        <v>0</v>
      </c>
      <c r="M201">
        <v>0</v>
      </c>
      <c r="N201">
        <v>0</v>
      </c>
      <c r="O201" t="s">
        <v>1080</v>
      </c>
      <c r="P201" s="24" t="str" cm="1">
        <f t="array" ref="P201">_xlfn.IFS(O201&lt;=6,"Detractors",AND(O201&gt;=7,O201&lt;=8),"Passives",AND(O201&gt;8,O201&lt;=10),"Promoters",O201="Not Available","NA")</f>
        <v>NA</v>
      </c>
    </row>
    <row r="202" spans="1:16" ht="14.25" customHeight="1" x14ac:dyDescent="0.3">
      <c r="A202" s="42" t="s">
        <v>228</v>
      </c>
      <c r="B202" s="2" t="s">
        <v>32</v>
      </c>
      <c r="C202" s="2" t="s">
        <v>30</v>
      </c>
      <c r="D202" s="3">
        <v>45950</v>
      </c>
      <c r="E202" s="3">
        <v>45953</v>
      </c>
      <c r="F202" s="3">
        <v>45956</v>
      </c>
      <c r="G202" s="3">
        <v>45962</v>
      </c>
      <c r="H202" s="23" t="str">
        <f t="shared" si="3"/>
        <v>Delivered</v>
      </c>
      <c r="I202" s="2" t="s">
        <v>17</v>
      </c>
      <c r="J202" s="24" t="s">
        <v>1054</v>
      </c>
      <c r="K202" s="3">
        <v>45985</v>
      </c>
      <c r="L202" s="2">
        <v>3</v>
      </c>
      <c r="M202" s="2">
        <v>3</v>
      </c>
      <c r="N202" s="2">
        <v>6</v>
      </c>
      <c r="O202" s="36">
        <v>6</v>
      </c>
      <c r="P202" s="24" t="str" cm="1">
        <f t="array" ref="P202">_xlfn.IFS(O202&lt;=6,"Detractors",AND(O202&gt;=7,O202&lt;=8),"Passives",AND(O202&gt;8,O202&lt;=10),"Promoters",O202="Not Available","NA")</f>
        <v>Detractors</v>
      </c>
    </row>
    <row r="203" spans="1:16" ht="14.25" customHeight="1" x14ac:dyDescent="0.3">
      <c r="A203" s="42" t="s">
        <v>229</v>
      </c>
      <c r="B203" s="2" t="s">
        <v>19</v>
      </c>
      <c r="C203" s="2" t="s">
        <v>30</v>
      </c>
      <c r="D203" s="3">
        <v>45950</v>
      </c>
      <c r="E203" s="3">
        <v>45952</v>
      </c>
      <c r="F203" s="3">
        <v>45954</v>
      </c>
      <c r="G203" s="3">
        <v>45961</v>
      </c>
      <c r="H203" s="23" t="str">
        <f t="shared" si="3"/>
        <v>Delivered</v>
      </c>
      <c r="I203" s="2" t="s">
        <v>17</v>
      </c>
      <c r="J203" s="24" t="s">
        <v>1054</v>
      </c>
      <c r="K203" s="3">
        <v>45988</v>
      </c>
      <c r="L203" s="2">
        <v>2</v>
      </c>
      <c r="M203" s="2">
        <v>2</v>
      </c>
      <c r="N203" s="2">
        <v>7</v>
      </c>
      <c r="O203" s="36">
        <v>2</v>
      </c>
      <c r="P203" s="24" t="str" cm="1">
        <f t="array" ref="P203">_xlfn.IFS(O203&lt;=6,"Detractors",AND(O203&gt;=7,O203&lt;=8),"Passives",AND(O203&gt;8,O203&lt;=10),"Promoters",O203="Not Available","NA")</f>
        <v>Detractors</v>
      </c>
    </row>
    <row r="204" spans="1:16" ht="14.25" customHeight="1" x14ac:dyDescent="0.3">
      <c r="A204" s="42" t="s">
        <v>230</v>
      </c>
      <c r="B204" s="2" t="s">
        <v>19</v>
      </c>
      <c r="C204" s="2" t="s">
        <v>30</v>
      </c>
      <c r="D204" s="3">
        <v>45956</v>
      </c>
      <c r="E204" s="3">
        <v>45961</v>
      </c>
      <c r="F204" s="3">
        <v>45962</v>
      </c>
      <c r="G204" s="3">
        <v>45966</v>
      </c>
      <c r="H204" s="23" t="str">
        <f t="shared" si="3"/>
        <v>Delivered</v>
      </c>
      <c r="I204" s="2" t="s">
        <v>17</v>
      </c>
      <c r="J204" s="24" t="s">
        <v>1054</v>
      </c>
      <c r="K204" s="3">
        <v>45993</v>
      </c>
      <c r="L204" s="2">
        <v>5</v>
      </c>
      <c r="M204" s="2">
        <v>1</v>
      </c>
      <c r="N204" s="2">
        <v>4</v>
      </c>
      <c r="O204" s="36">
        <v>2</v>
      </c>
      <c r="P204" s="24" t="str" cm="1">
        <f t="array" ref="P204">_xlfn.IFS(O204&lt;=6,"Detractors",AND(O204&gt;=7,O204&lt;=8),"Passives",AND(O204&gt;8,O204&lt;=10),"Promoters",O204="Not Available","NA")</f>
        <v>Detractors</v>
      </c>
    </row>
    <row r="205" spans="1:16" ht="14.25" customHeight="1" x14ac:dyDescent="0.3">
      <c r="A205" s="2" t="s">
        <v>231</v>
      </c>
      <c r="B205" s="2" t="s">
        <v>19</v>
      </c>
      <c r="C205" s="2" t="s">
        <v>16</v>
      </c>
      <c r="D205" s="3">
        <v>45950</v>
      </c>
      <c r="E205" s="3">
        <v>45954</v>
      </c>
      <c r="F205" s="3">
        <v>45957</v>
      </c>
      <c r="G205" s="3">
        <v>45964</v>
      </c>
      <c r="H205" s="23" t="str">
        <f t="shared" si="3"/>
        <v>Delivered</v>
      </c>
      <c r="I205" s="2" t="s">
        <v>17</v>
      </c>
      <c r="J205" s="24" t="s">
        <v>1054</v>
      </c>
      <c r="K205" s="3">
        <v>45982</v>
      </c>
      <c r="L205" s="2">
        <v>4</v>
      </c>
      <c r="M205" s="2">
        <v>3</v>
      </c>
      <c r="N205" s="2">
        <v>7</v>
      </c>
      <c r="O205" s="36">
        <v>9</v>
      </c>
      <c r="P205" s="24" t="str" cm="1">
        <f t="array" ref="P205">_xlfn.IFS(O205&lt;=6,"Detractors",AND(O205&gt;=7,O205&lt;=8),"Passives",AND(O205&gt;8,O205&lt;=10),"Promoters",O205="Not Available","NA")</f>
        <v>Promoters</v>
      </c>
    </row>
    <row r="206" spans="1:16" ht="14.25" customHeight="1" x14ac:dyDescent="0.3">
      <c r="A206" s="2" t="s">
        <v>232</v>
      </c>
      <c r="B206" s="2" t="s">
        <v>15</v>
      </c>
      <c r="C206" s="2" t="s">
        <v>22</v>
      </c>
      <c r="D206" s="3">
        <v>45938</v>
      </c>
      <c r="H206" s="23" t="str">
        <f t="shared" si="3"/>
        <v>Not Delivered</v>
      </c>
      <c r="I206" s="2" t="s">
        <v>23</v>
      </c>
      <c r="J206" s="2" t="s">
        <v>63</v>
      </c>
      <c r="L206">
        <v>0</v>
      </c>
      <c r="M206">
        <v>0</v>
      </c>
      <c r="N206">
        <v>0</v>
      </c>
      <c r="O206" t="s">
        <v>1080</v>
      </c>
      <c r="P206" s="24" t="str" cm="1">
        <f t="array" ref="P206">_xlfn.IFS(O206&lt;=6,"Detractors",AND(O206&gt;=7,O206&lt;=8),"Passives",AND(O206&gt;8,O206&lt;=10),"Promoters",O206="Not Available","NA")</f>
        <v>NA</v>
      </c>
    </row>
    <row r="207" spans="1:16" ht="14.25" customHeight="1" x14ac:dyDescent="0.3">
      <c r="A207" s="42" t="s">
        <v>233</v>
      </c>
      <c r="B207" s="2" t="s">
        <v>19</v>
      </c>
      <c r="C207" s="2" t="s">
        <v>30</v>
      </c>
      <c r="D207" s="3">
        <v>45955</v>
      </c>
      <c r="E207" s="3">
        <v>45958</v>
      </c>
      <c r="F207" s="3">
        <v>45960</v>
      </c>
      <c r="G207" s="3">
        <v>45966</v>
      </c>
      <c r="H207" s="23" t="str">
        <f t="shared" si="3"/>
        <v>Delivered</v>
      </c>
      <c r="I207" s="2" t="s">
        <v>17</v>
      </c>
      <c r="J207" s="24" t="s">
        <v>1054</v>
      </c>
      <c r="K207" s="3">
        <v>45985</v>
      </c>
      <c r="L207" s="2">
        <v>3</v>
      </c>
      <c r="M207" s="2">
        <v>2</v>
      </c>
      <c r="N207" s="2">
        <v>6</v>
      </c>
      <c r="O207" s="36">
        <v>2</v>
      </c>
      <c r="P207" s="24" t="str" cm="1">
        <f t="array" ref="P207">_xlfn.IFS(O207&lt;=6,"Detractors",AND(O207&gt;=7,O207&lt;=8),"Passives",AND(O207&gt;8,O207&lt;=10),"Promoters",O207="Not Available","NA")</f>
        <v>Detractors</v>
      </c>
    </row>
    <row r="208" spans="1:16" ht="14.25" customHeight="1" x14ac:dyDescent="0.3">
      <c r="A208" s="2" t="s">
        <v>234</v>
      </c>
      <c r="B208" s="2" t="s">
        <v>19</v>
      </c>
      <c r="C208" s="2" t="s">
        <v>22</v>
      </c>
      <c r="D208" s="3">
        <v>45947</v>
      </c>
      <c r="H208" s="23" t="str">
        <f t="shared" si="3"/>
        <v>Not Delivered</v>
      </c>
      <c r="I208" s="2" t="s">
        <v>23</v>
      </c>
      <c r="J208" s="2" t="s">
        <v>63</v>
      </c>
      <c r="L208">
        <v>0</v>
      </c>
      <c r="M208">
        <v>0</v>
      </c>
      <c r="N208">
        <v>0</v>
      </c>
      <c r="O208" t="s">
        <v>1080</v>
      </c>
      <c r="P208" s="24" t="str" cm="1">
        <f t="array" ref="P208">_xlfn.IFS(O208&lt;=6,"Detractors",AND(O208&gt;=7,O208&lt;=8),"Passives",AND(O208&gt;8,O208&lt;=10),"Promoters",O208="Not Available","NA")</f>
        <v>NA</v>
      </c>
    </row>
    <row r="209" spans="1:16" ht="14.25" customHeight="1" x14ac:dyDescent="0.3">
      <c r="A209" s="2" t="s">
        <v>235</v>
      </c>
      <c r="B209" s="2" t="s">
        <v>15</v>
      </c>
      <c r="C209" s="2" t="s">
        <v>16</v>
      </c>
      <c r="D209" s="3">
        <v>45943</v>
      </c>
      <c r="E209" s="3">
        <v>45944</v>
      </c>
      <c r="F209" s="3">
        <v>45948</v>
      </c>
      <c r="G209" s="3">
        <v>45955</v>
      </c>
      <c r="H209" s="23" t="str">
        <f t="shared" si="3"/>
        <v>Delivered</v>
      </c>
      <c r="I209" s="2" t="s">
        <v>17</v>
      </c>
      <c r="J209" s="24" t="s">
        <v>1054</v>
      </c>
      <c r="K209" s="3">
        <v>45974</v>
      </c>
      <c r="L209" s="2">
        <v>1</v>
      </c>
      <c r="M209" s="2">
        <v>4</v>
      </c>
      <c r="N209" s="2">
        <v>7</v>
      </c>
      <c r="O209" s="36">
        <v>7</v>
      </c>
      <c r="P209" s="24" t="str" cm="1">
        <f t="array" ref="P209">_xlfn.IFS(O209&lt;=6,"Detractors",AND(O209&gt;=7,O209&lt;=8),"Passives",AND(O209&gt;8,O209&lt;=10),"Promoters",O209="Not Available","NA")</f>
        <v>Passives</v>
      </c>
    </row>
    <row r="210" spans="1:16" ht="14.25" customHeight="1" x14ac:dyDescent="0.3">
      <c r="A210" s="2" t="s">
        <v>236</v>
      </c>
      <c r="B210" s="2" t="s">
        <v>21</v>
      </c>
      <c r="C210" s="2" t="s">
        <v>22</v>
      </c>
      <c r="D210" s="3">
        <v>45945</v>
      </c>
      <c r="H210" s="23" t="str">
        <f t="shared" si="3"/>
        <v>Not Delivered</v>
      </c>
      <c r="I210" s="2" t="s">
        <v>23</v>
      </c>
      <c r="J210" s="2" t="s">
        <v>101</v>
      </c>
      <c r="L210">
        <v>0</v>
      </c>
      <c r="M210">
        <v>0</v>
      </c>
      <c r="N210">
        <v>0</v>
      </c>
      <c r="O210" t="s">
        <v>1080</v>
      </c>
      <c r="P210" s="24" t="str" cm="1">
        <f t="array" ref="P210">_xlfn.IFS(O210&lt;=6,"Detractors",AND(O210&gt;=7,O210&lt;=8),"Passives",AND(O210&gt;8,O210&lt;=10),"Promoters",O210="Not Available","NA")</f>
        <v>NA</v>
      </c>
    </row>
    <row r="211" spans="1:16" ht="14.25" customHeight="1" x14ac:dyDescent="0.3">
      <c r="A211" s="42" t="s">
        <v>237</v>
      </c>
      <c r="B211" s="2" t="s">
        <v>15</v>
      </c>
      <c r="C211" s="2" t="s">
        <v>30</v>
      </c>
      <c r="D211" s="3">
        <v>45960</v>
      </c>
      <c r="E211" s="3">
        <v>45964</v>
      </c>
      <c r="F211" s="3">
        <v>45967</v>
      </c>
      <c r="G211" s="3">
        <v>45972</v>
      </c>
      <c r="H211" s="23" t="str">
        <f t="shared" si="3"/>
        <v>Delivered</v>
      </c>
      <c r="I211" s="2" t="s">
        <v>17</v>
      </c>
      <c r="J211" s="24" t="s">
        <v>1054</v>
      </c>
      <c r="K211" s="3">
        <v>45989</v>
      </c>
      <c r="L211" s="2">
        <v>4</v>
      </c>
      <c r="M211" s="2">
        <v>3</v>
      </c>
      <c r="N211" s="2">
        <v>5</v>
      </c>
      <c r="O211" s="36">
        <v>9</v>
      </c>
      <c r="P211" s="24" t="str" cm="1">
        <f t="array" ref="P211">_xlfn.IFS(O211&lt;=6,"Detractors",AND(O211&gt;=7,O211&lt;=8),"Passives",AND(O211&gt;8,O211&lt;=10),"Promoters",O211="Not Available","NA")</f>
        <v>Promoters</v>
      </c>
    </row>
    <row r="212" spans="1:16" ht="14.25" customHeight="1" x14ac:dyDescent="0.3">
      <c r="A212" s="2" t="s">
        <v>238</v>
      </c>
      <c r="B212" s="2" t="s">
        <v>19</v>
      </c>
      <c r="C212" s="2" t="s">
        <v>22</v>
      </c>
      <c r="D212" s="3">
        <v>45945</v>
      </c>
      <c r="H212" s="23" t="str">
        <f t="shared" si="3"/>
        <v>Not Delivered</v>
      </c>
      <c r="I212" s="2" t="s">
        <v>23</v>
      </c>
      <c r="J212" s="2" t="s">
        <v>101</v>
      </c>
      <c r="L212">
        <v>0</v>
      </c>
      <c r="M212">
        <v>0</v>
      </c>
      <c r="N212">
        <v>0</v>
      </c>
      <c r="O212" t="s">
        <v>1080</v>
      </c>
      <c r="P212" s="24" t="str" cm="1">
        <f t="array" ref="P212">_xlfn.IFS(O212&lt;=6,"Detractors",AND(O212&gt;=7,O212&lt;=8),"Passives",AND(O212&gt;8,O212&lt;=10),"Promoters",O212="Not Available","NA")</f>
        <v>NA</v>
      </c>
    </row>
    <row r="213" spans="1:16" ht="14.25" customHeight="1" x14ac:dyDescent="0.3">
      <c r="A213" s="2" t="s">
        <v>239</v>
      </c>
      <c r="B213" s="2" t="s">
        <v>15</v>
      </c>
      <c r="C213" s="2" t="s">
        <v>16</v>
      </c>
      <c r="D213" s="3">
        <v>45940</v>
      </c>
      <c r="E213" s="3">
        <v>45941</v>
      </c>
      <c r="F213" s="3">
        <v>45943</v>
      </c>
      <c r="G213" s="3">
        <v>45946</v>
      </c>
      <c r="H213" s="23" t="str">
        <f t="shared" si="3"/>
        <v>Delivered</v>
      </c>
      <c r="I213" s="2" t="s">
        <v>23</v>
      </c>
      <c r="J213" s="2" t="s">
        <v>24</v>
      </c>
      <c r="L213" s="2">
        <v>1</v>
      </c>
      <c r="M213" s="2">
        <v>2</v>
      </c>
      <c r="N213" s="2">
        <v>3</v>
      </c>
      <c r="O213" t="s">
        <v>1080</v>
      </c>
      <c r="P213" s="24" t="str" cm="1">
        <f t="array" ref="P213">_xlfn.IFS(O213&lt;=6,"Detractors",AND(O213&gt;=7,O213&lt;=8),"Passives",AND(O213&gt;8,O213&lt;=10),"Promoters",O213="Not Available","NA")</f>
        <v>NA</v>
      </c>
    </row>
    <row r="214" spans="1:16" ht="14.25" customHeight="1" x14ac:dyDescent="0.3">
      <c r="A214" s="42" t="s">
        <v>240</v>
      </c>
      <c r="B214" s="2" t="s">
        <v>21</v>
      </c>
      <c r="C214" s="2" t="s">
        <v>30</v>
      </c>
      <c r="D214" s="3">
        <v>45958</v>
      </c>
      <c r="E214" s="3">
        <v>45960</v>
      </c>
      <c r="F214" s="3">
        <v>45961</v>
      </c>
      <c r="G214" s="3">
        <v>45967</v>
      </c>
      <c r="H214" s="23" t="str">
        <f t="shared" si="3"/>
        <v>Delivered</v>
      </c>
      <c r="I214" s="2" t="s">
        <v>17</v>
      </c>
      <c r="J214" s="24" t="s">
        <v>1054</v>
      </c>
      <c r="K214" s="3">
        <v>45980</v>
      </c>
      <c r="L214" s="2">
        <v>2</v>
      </c>
      <c r="M214" s="2">
        <v>1</v>
      </c>
      <c r="N214" s="2">
        <v>6</v>
      </c>
      <c r="O214" s="36">
        <v>4</v>
      </c>
      <c r="P214" s="24" t="str" cm="1">
        <f t="array" ref="P214">_xlfn.IFS(O214&lt;=6,"Detractors",AND(O214&gt;=7,O214&lt;=8),"Passives",AND(O214&gt;8,O214&lt;=10),"Promoters",O214="Not Available","NA")</f>
        <v>Detractors</v>
      </c>
    </row>
    <row r="215" spans="1:16" ht="14.25" customHeight="1" x14ac:dyDescent="0.3">
      <c r="A215" s="42" t="s">
        <v>241</v>
      </c>
      <c r="B215" s="2" t="s">
        <v>15</v>
      </c>
      <c r="C215" s="2" t="s">
        <v>30</v>
      </c>
      <c r="D215" s="3">
        <v>45949</v>
      </c>
      <c r="E215" s="3">
        <v>45953</v>
      </c>
      <c r="F215" s="3">
        <v>45956</v>
      </c>
      <c r="G215" s="3">
        <v>45959</v>
      </c>
      <c r="H215" s="23" t="str">
        <f t="shared" si="3"/>
        <v>Delivered</v>
      </c>
      <c r="I215" s="2" t="s">
        <v>17</v>
      </c>
      <c r="J215" s="24" t="s">
        <v>1054</v>
      </c>
      <c r="K215" s="3">
        <v>45970</v>
      </c>
      <c r="L215" s="2">
        <v>4</v>
      </c>
      <c r="M215" s="2">
        <v>3</v>
      </c>
      <c r="N215" s="2">
        <v>3</v>
      </c>
      <c r="O215" s="36">
        <v>2</v>
      </c>
      <c r="P215" s="24" t="str" cm="1">
        <f t="array" ref="P215">_xlfn.IFS(O215&lt;=6,"Detractors",AND(O215&gt;=7,O215&lt;=8),"Passives",AND(O215&gt;8,O215&lt;=10),"Promoters",O215="Not Available","NA")</f>
        <v>Detractors</v>
      </c>
    </row>
    <row r="216" spans="1:16" ht="14.25" customHeight="1" x14ac:dyDescent="0.3">
      <c r="A216" s="2" t="s">
        <v>242</v>
      </c>
      <c r="B216" s="2" t="s">
        <v>19</v>
      </c>
      <c r="C216" s="2" t="s">
        <v>22</v>
      </c>
      <c r="D216" s="3">
        <v>45944</v>
      </c>
      <c r="H216" s="23" t="str">
        <f t="shared" si="3"/>
        <v>Not Delivered</v>
      </c>
      <c r="I216" s="2" t="s">
        <v>23</v>
      </c>
      <c r="J216" s="2" t="s">
        <v>26</v>
      </c>
      <c r="L216">
        <v>0</v>
      </c>
      <c r="M216">
        <v>0</v>
      </c>
      <c r="N216">
        <v>0</v>
      </c>
      <c r="O216" t="s">
        <v>1080</v>
      </c>
      <c r="P216" s="24" t="str" cm="1">
        <f t="array" ref="P216">_xlfn.IFS(O216&lt;=6,"Detractors",AND(O216&gt;=7,O216&lt;=8),"Passives",AND(O216&gt;8,O216&lt;=10),"Promoters",O216="Not Available","NA")</f>
        <v>NA</v>
      </c>
    </row>
    <row r="217" spans="1:16" ht="14.25" customHeight="1" x14ac:dyDescent="0.3">
      <c r="A217" s="2" t="s">
        <v>243</v>
      </c>
      <c r="B217" s="2" t="s">
        <v>21</v>
      </c>
      <c r="C217" s="2" t="s">
        <v>22</v>
      </c>
      <c r="D217" s="3">
        <v>45940</v>
      </c>
      <c r="H217" s="23" t="str">
        <f t="shared" si="3"/>
        <v>Not Delivered</v>
      </c>
      <c r="I217" s="2" t="s">
        <v>23</v>
      </c>
      <c r="J217" s="2" t="s">
        <v>101</v>
      </c>
      <c r="L217">
        <v>0</v>
      </c>
      <c r="M217">
        <v>0</v>
      </c>
      <c r="N217">
        <v>0</v>
      </c>
      <c r="O217" t="s">
        <v>1080</v>
      </c>
      <c r="P217" s="24" t="str" cm="1">
        <f t="array" ref="P217">_xlfn.IFS(O217&lt;=6,"Detractors",AND(O217&gt;=7,O217&lt;=8),"Passives",AND(O217&gt;8,O217&lt;=10),"Promoters",O217="Not Available","NA")</f>
        <v>NA</v>
      </c>
    </row>
    <row r="218" spans="1:16" ht="14.25" customHeight="1" x14ac:dyDescent="0.3">
      <c r="A218" s="42" t="s">
        <v>244</v>
      </c>
      <c r="B218" s="2" t="s">
        <v>32</v>
      </c>
      <c r="C218" s="2" t="s">
        <v>30</v>
      </c>
      <c r="D218" s="3">
        <v>45949</v>
      </c>
      <c r="E218" s="3">
        <v>45954</v>
      </c>
      <c r="F218" s="3">
        <v>45957</v>
      </c>
      <c r="G218" s="3">
        <v>45960</v>
      </c>
      <c r="H218" s="23" t="str">
        <f t="shared" si="3"/>
        <v>Delivered</v>
      </c>
      <c r="I218" s="2" t="s">
        <v>17</v>
      </c>
      <c r="J218" s="24" t="s">
        <v>1054</v>
      </c>
      <c r="K218" s="3">
        <v>45982</v>
      </c>
      <c r="L218" s="2">
        <v>5</v>
      </c>
      <c r="M218" s="2">
        <v>3</v>
      </c>
      <c r="N218" s="2">
        <v>3</v>
      </c>
      <c r="O218" s="36">
        <v>0</v>
      </c>
      <c r="P218" s="24" t="str" cm="1">
        <f t="array" ref="P218">_xlfn.IFS(O218&lt;=6,"Detractors",AND(O218&gt;=7,O218&lt;=8),"Passives",AND(O218&gt;8,O218&lt;=10),"Promoters",O218="Not Available","NA")</f>
        <v>Detractors</v>
      </c>
    </row>
    <row r="219" spans="1:16" ht="14.25" customHeight="1" x14ac:dyDescent="0.3">
      <c r="A219" s="2" t="s">
        <v>245</v>
      </c>
      <c r="B219" s="2" t="s">
        <v>19</v>
      </c>
      <c r="C219" s="2" t="s">
        <v>16</v>
      </c>
      <c r="D219" s="3">
        <v>45950</v>
      </c>
      <c r="E219" s="3">
        <v>45954</v>
      </c>
      <c r="F219" s="3">
        <v>45959</v>
      </c>
      <c r="G219" s="3">
        <v>45962</v>
      </c>
      <c r="H219" s="23" t="str">
        <f t="shared" si="3"/>
        <v>Delivered</v>
      </c>
      <c r="I219" s="2" t="s">
        <v>23</v>
      </c>
      <c r="J219" s="2" t="s">
        <v>101</v>
      </c>
      <c r="L219" s="2">
        <v>4</v>
      </c>
      <c r="M219" s="2">
        <v>5</v>
      </c>
      <c r="N219" s="2">
        <v>3</v>
      </c>
      <c r="O219" t="s">
        <v>1080</v>
      </c>
      <c r="P219" s="24" t="str" cm="1">
        <f t="array" ref="P219">_xlfn.IFS(O219&lt;=6,"Detractors",AND(O219&gt;=7,O219&lt;=8),"Passives",AND(O219&gt;8,O219&lt;=10),"Promoters",O219="Not Available","NA")</f>
        <v>NA</v>
      </c>
    </row>
    <row r="220" spans="1:16" ht="14.25" customHeight="1" x14ac:dyDescent="0.3">
      <c r="A220" s="2" t="s">
        <v>246</v>
      </c>
      <c r="B220" s="2" t="s">
        <v>21</v>
      </c>
      <c r="C220" s="2" t="s">
        <v>22</v>
      </c>
      <c r="D220" s="3">
        <v>45932</v>
      </c>
      <c r="H220" s="23" t="str">
        <f t="shared" si="3"/>
        <v>Not Delivered</v>
      </c>
      <c r="I220" s="2" t="s">
        <v>23</v>
      </c>
      <c r="J220" s="2" t="s">
        <v>26</v>
      </c>
      <c r="L220">
        <v>0</v>
      </c>
      <c r="M220">
        <v>0</v>
      </c>
      <c r="N220">
        <v>0</v>
      </c>
      <c r="O220" t="s">
        <v>1080</v>
      </c>
      <c r="P220" s="24" t="str" cm="1">
        <f t="array" ref="P220">_xlfn.IFS(O220&lt;=6,"Detractors",AND(O220&gt;=7,O220&lt;=8),"Passives",AND(O220&gt;8,O220&lt;=10),"Promoters",O220="Not Available","NA")</f>
        <v>NA</v>
      </c>
    </row>
    <row r="221" spans="1:16" ht="14.25" customHeight="1" x14ac:dyDescent="0.3">
      <c r="A221" s="2" t="s">
        <v>247</v>
      </c>
      <c r="B221" s="2" t="s">
        <v>21</v>
      </c>
      <c r="C221" s="2" t="s">
        <v>22</v>
      </c>
      <c r="D221" s="3">
        <v>45950</v>
      </c>
      <c r="H221" s="23" t="str">
        <f t="shared" si="3"/>
        <v>Not Delivered</v>
      </c>
      <c r="I221" s="2" t="s">
        <v>23</v>
      </c>
      <c r="J221" s="2" t="s">
        <v>24</v>
      </c>
      <c r="L221">
        <v>0</v>
      </c>
      <c r="M221">
        <v>0</v>
      </c>
      <c r="N221">
        <v>0</v>
      </c>
      <c r="O221" t="s">
        <v>1080</v>
      </c>
      <c r="P221" s="24" t="str" cm="1">
        <f t="array" ref="P221">_xlfn.IFS(O221&lt;=6,"Detractors",AND(O221&gt;=7,O221&lt;=8),"Passives",AND(O221&gt;8,O221&lt;=10),"Promoters",O221="Not Available","NA")</f>
        <v>NA</v>
      </c>
    </row>
    <row r="222" spans="1:16" ht="14.25" customHeight="1" x14ac:dyDescent="0.3">
      <c r="A222" s="2" t="s">
        <v>248</v>
      </c>
      <c r="B222" s="2" t="s">
        <v>32</v>
      </c>
      <c r="C222" s="2" t="s">
        <v>22</v>
      </c>
      <c r="D222" s="3">
        <v>45961</v>
      </c>
      <c r="H222" s="23" t="str">
        <f t="shared" si="3"/>
        <v>Not Delivered</v>
      </c>
      <c r="I222" s="2" t="s">
        <v>23</v>
      </c>
      <c r="J222" s="2" t="s">
        <v>101</v>
      </c>
      <c r="L222">
        <v>0</v>
      </c>
      <c r="M222">
        <v>0</v>
      </c>
      <c r="N222">
        <v>0</v>
      </c>
      <c r="O222" t="s">
        <v>1080</v>
      </c>
      <c r="P222" s="24" t="str" cm="1">
        <f t="array" ref="P222">_xlfn.IFS(O222&lt;=6,"Detractors",AND(O222&gt;=7,O222&lt;=8),"Passives",AND(O222&gt;8,O222&lt;=10),"Promoters",O222="Not Available","NA")</f>
        <v>NA</v>
      </c>
    </row>
    <row r="223" spans="1:16" ht="14.25" customHeight="1" x14ac:dyDescent="0.3">
      <c r="A223" s="2" t="s">
        <v>249</v>
      </c>
      <c r="B223" s="2" t="s">
        <v>15</v>
      </c>
      <c r="C223" s="2" t="s">
        <v>16</v>
      </c>
      <c r="D223" s="3">
        <v>45954</v>
      </c>
      <c r="E223" s="3">
        <v>45959</v>
      </c>
      <c r="F223" s="3">
        <v>45961</v>
      </c>
      <c r="G223" s="3">
        <v>45963</v>
      </c>
      <c r="H223" s="23" t="str">
        <f t="shared" si="3"/>
        <v>Delivered</v>
      </c>
      <c r="I223" s="2" t="s">
        <v>17</v>
      </c>
      <c r="J223" s="24" t="s">
        <v>1054</v>
      </c>
      <c r="K223" s="3">
        <v>45991</v>
      </c>
      <c r="L223" s="2">
        <v>5</v>
      </c>
      <c r="M223" s="2">
        <v>2</v>
      </c>
      <c r="N223" s="2">
        <v>2</v>
      </c>
      <c r="O223" s="36">
        <v>3</v>
      </c>
      <c r="P223" s="24" t="str" cm="1">
        <f t="array" ref="P223">_xlfn.IFS(O223&lt;=6,"Detractors",AND(O223&gt;=7,O223&lt;=8),"Passives",AND(O223&gt;8,O223&lt;=10),"Promoters",O223="Not Available","NA")</f>
        <v>Detractors</v>
      </c>
    </row>
    <row r="224" spans="1:16" ht="14.25" customHeight="1" x14ac:dyDescent="0.3">
      <c r="A224" s="2" t="s">
        <v>250</v>
      </c>
      <c r="B224" s="2" t="s">
        <v>15</v>
      </c>
      <c r="C224" s="2" t="s">
        <v>16</v>
      </c>
      <c r="D224" s="3">
        <v>45934</v>
      </c>
      <c r="E224" s="3">
        <v>45935</v>
      </c>
      <c r="F224" s="3">
        <v>45937</v>
      </c>
      <c r="G224" s="3">
        <v>45943</v>
      </c>
      <c r="H224" s="23" t="str">
        <f t="shared" si="3"/>
        <v>Delivered</v>
      </c>
      <c r="I224" s="2" t="s">
        <v>17</v>
      </c>
      <c r="J224" s="24" t="s">
        <v>1054</v>
      </c>
      <c r="K224" s="3">
        <v>45970</v>
      </c>
      <c r="L224" s="2">
        <v>1</v>
      </c>
      <c r="M224" s="2">
        <v>2</v>
      </c>
      <c r="N224" s="2">
        <v>6</v>
      </c>
      <c r="O224" s="36">
        <v>1</v>
      </c>
      <c r="P224" s="24" t="str" cm="1">
        <f t="array" ref="P224">_xlfn.IFS(O224&lt;=6,"Detractors",AND(O224&gt;=7,O224&lt;=8),"Passives",AND(O224&gt;8,O224&lt;=10),"Promoters",O224="Not Available","NA")</f>
        <v>Detractors</v>
      </c>
    </row>
    <row r="225" spans="1:16" ht="14.25" customHeight="1" x14ac:dyDescent="0.3">
      <c r="A225" s="2" t="s">
        <v>251</v>
      </c>
      <c r="B225" s="2" t="s">
        <v>19</v>
      </c>
      <c r="C225" s="2" t="s">
        <v>16</v>
      </c>
      <c r="D225" s="3">
        <v>45961</v>
      </c>
      <c r="E225" s="3">
        <v>45965</v>
      </c>
      <c r="F225" s="3">
        <v>45970</v>
      </c>
      <c r="G225" s="3">
        <v>45974</v>
      </c>
      <c r="H225" s="23" t="str">
        <f t="shared" si="3"/>
        <v>Delivered</v>
      </c>
      <c r="I225" s="2" t="s">
        <v>17</v>
      </c>
      <c r="J225" s="24" t="s">
        <v>1054</v>
      </c>
      <c r="K225" s="3">
        <v>45999</v>
      </c>
      <c r="L225" s="2">
        <v>4</v>
      </c>
      <c r="M225" s="2">
        <v>5</v>
      </c>
      <c r="N225" s="2">
        <v>4</v>
      </c>
      <c r="O225" s="36">
        <v>7</v>
      </c>
      <c r="P225" s="24" t="str" cm="1">
        <f t="array" ref="P225">_xlfn.IFS(O225&lt;=6,"Detractors",AND(O225&gt;=7,O225&lt;=8),"Passives",AND(O225&gt;8,O225&lt;=10),"Promoters",O225="Not Available","NA")</f>
        <v>Passives</v>
      </c>
    </row>
    <row r="226" spans="1:16" ht="14.25" customHeight="1" x14ac:dyDescent="0.3">
      <c r="A226" s="2" t="s">
        <v>252</v>
      </c>
      <c r="B226" s="2" t="s">
        <v>32</v>
      </c>
      <c r="C226" s="2" t="s">
        <v>16</v>
      </c>
      <c r="D226" s="3">
        <v>45955</v>
      </c>
      <c r="E226" s="3">
        <v>45958</v>
      </c>
      <c r="F226" s="3">
        <v>45962</v>
      </c>
      <c r="G226" s="3">
        <v>45968</v>
      </c>
      <c r="H226" s="23" t="str">
        <f t="shared" si="3"/>
        <v>Delivered</v>
      </c>
      <c r="I226" s="2" t="s">
        <v>17</v>
      </c>
      <c r="J226" s="24" t="s">
        <v>1054</v>
      </c>
      <c r="K226" s="3">
        <v>45982</v>
      </c>
      <c r="L226" s="2">
        <v>3</v>
      </c>
      <c r="M226" s="2">
        <v>4</v>
      </c>
      <c r="N226" s="2">
        <v>6</v>
      </c>
      <c r="O226" s="36">
        <v>3</v>
      </c>
      <c r="P226" s="24" t="str" cm="1">
        <f t="array" ref="P226">_xlfn.IFS(O226&lt;=6,"Detractors",AND(O226&gt;=7,O226&lt;=8),"Passives",AND(O226&gt;8,O226&lt;=10),"Promoters",O226="Not Available","NA")</f>
        <v>Detractors</v>
      </c>
    </row>
    <row r="227" spans="1:16" ht="14.25" customHeight="1" x14ac:dyDescent="0.3">
      <c r="A227" s="2" t="s">
        <v>253</v>
      </c>
      <c r="B227" s="2" t="s">
        <v>15</v>
      </c>
      <c r="C227" s="2" t="s">
        <v>16</v>
      </c>
      <c r="D227" s="3">
        <v>45937</v>
      </c>
      <c r="E227" s="3">
        <v>45940</v>
      </c>
      <c r="F227" s="3">
        <v>45944</v>
      </c>
      <c r="G227" s="3">
        <v>45948</v>
      </c>
      <c r="H227" s="23" t="str">
        <f t="shared" si="3"/>
        <v>Delivered</v>
      </c>
      <c r="I227" s="2" t="s">
        <v>23</v>
      </c>
      <c r="J227" s="2" t="s">
        <v>24</v>
      </c>
      <c r="L227" s="2">
        <v>3</v>
      </c>
      <c r="M227" s="2">
        <v>4</v>
      </c>
      <c r="N227" s="2">
        <v>4</v>
      </c>
      <c r="O227" t="s">
        <v>1080</v>
      </c>
      <c r="P227" s="24" t="str" cm="1">
        <f t="array" ref="P227">_xlfn.IFS(O227&lt;=6,"Detractors",AND(O227&gt;=7,O227&lt;=8),"Passives",AND(O227&gt;8,O227&lt;=10),"Promoters",O227="Not Available","NA")</f>
        <v>NA</v>
      </c>
    </row>
    <row r="228" spans="1:16" ht="14.25" customHeight="1" x14ac:dyDescent="0.3">
      <c r="A228" s="2" t="s">
        <v>254</v>
      </c>
      <c r="B228" s="2" t="s">
        <v>32</v>
      </c>
      <c r="C228" s="2" t="s">
        <v>16</v>
      </c>
      <c r="D228" s="3">
        <v>45951</v>
      </c>
      <c r="E228" s="3">
        <v>45953</v>
      </c>
      <c r="F228" s="3">
        <v>45958</v>
      </c>
      <c r="G228" s="3">
        <v>45964</v>
      </c>
      <c r="H228" s="23" t="str">
        <f t="shared" si="3"/>
        <v>Delivered</v>
      </c>
      <c r="I228" s="2" t="s">
        <v>23</v>
      </c>
      <c r="J228" s="2" t="s">
        <v>33</v>
      </c>
      <c r="L228" s="2">
        <v>2</v>
      </c>
      <c r="M228" s="2">
        <v>5</v>
      </c>
      <c r="N228" s="2">
        <v>6</v>
      </c>
      <c r="O228" t="s">
        <v>1080</v>
      </c>
      <c r="P228" s="24" t="str" cm="1">
        <f t="array" ref="P228">_xlfn.IFS(O228&lt;=6,"Detractors",AND(O228&gt;=7,O228&lt;=8),"Passives",AND(O228&gt;8,O228&lt;=10),"Promoters",O228="Not Available","NA")</f>
        <v>NA</v>
      </c>
    </row>
    <row r="229" spans="1:16" ht="14.25" customHeight="1" x14ac:dyDescent="0.3">
      <c r="A229" s="42" t="s">
        <v>255</v>
      </c>
      <c r="B229" s="2" t="s">
        <v>15</v>
      </c>
      <c r="C229" s="2" t="s">
        <v>30</v>
      </c>
      <c r="D229" s="3">
        <v>45937</v>
      </c>
      <c r="E229" s="3">
        <v>45940</v>
      </c>
      <c r="F229" s="3">
        <v>45943</v>
      </c>
      <c r="G229" s="3">
        <v>45949</v>
      </c>
      <c r="H229" s="23" t="str">
        <f t="shared" si="3"/>
        <v>Delivered</v>
      </c>
      <c r="I229" s="2" t="s">
        <v>17</v>
      </c>
      <c r="J229" s="24" t="s">
        <v>1054</v>
      </c>
      <c r="K229" s="3">
        <v>45960</v>
      </c>
      <c r="L229" s="2">
        <v>3</v>
      </c>
      <c r="M229" s="2">
        <v>3</v>
      </c>
      <c r="N229" s="2">
        <v>6</v>
      </c>
      <c r="O229" s="36">
        <v>4</v>
      </c>
      <c r="P229" s="24" t="str" cm="1">
        <f t="array" ref="P229">_xlfn.IFS(O229&lt;=6,"Detractors",AND(O229&gt;=7,O229&lt;=8),"Passives",AND(O229&gt;8,O229&lt;=10),"Promoters",O229="Not Available","NA")</f>
        <v>Detractors</v>
      </c>
    </row>
    <row r="230" spans="1:16" ht="14.25" customHeight="1" x14ac:dyDescent="0.3">
      <c r="A230" s="2" t="s">
        <v>256</v>
      </c>
      <c r="B230" s="2" t="s">
        <v>21</v>
      </c>
      <c r="C230" s="2" t="s">
        <v>22</v>
      </c>
      <c r="D230" s="3">
        <v>45939</v>
      </c>
      <c r="H230" s="23" t="str">
        <f t="shared" si="3"/>
        <v>Not Delivered</v>
      </c>
      <c r="I230" s="2" t="s">
        <v>23</v>
      </c>
      <c r="J230" s="2" t="s">
        <v>24</v>
      </c>
      <c r="L230">
        <v>0</v>
      </c>
      <c r="M230">
        <v>0</v>
      </c>
      <c r="N230">
        <v>0</v>
      </c>
      <c r="O230" t="s">
        <v>1080</v>
      </c>
      <c r="P230" s="24" t="str" cm="1">
        <f t="array" ref="P230">_xlfn.IFS(O230&lt;=6,"Detractors",AND(O230&gt;=7,O230&lt;=8),"Passives",AND(O230&gt;8,O230&lt;=10),"Promoters",O230="Not Available","NA")</f>
        <v>NA</v>
      </c>
    </row>
    <row r="231" spans="1:16" ht="14.25" customHeight="1" x14ac:dyDescent="0.3">
      <c r="A231" s="2" t="s">
        <v>257</v>
      </c>
      <c r="B231" s="2" t="s">
        <v>15</v>
      </c>
      <c r="C231" s="2" t="s">
        <v>16</v>
      </c>
      <c r="D231" s="3">
        <v>45952</v>
      </c>
      <c r="E231" s="3">
        <v>45954</v>
      </c>
      <c r="F231" s="3">
        <v>45955</v>
      </c>
      <c r="G231" s="3">
        <v>45958</v>
      </c>
      <c r="H231" s="23" t="str">
        <f t="shared" si="3"/>
        <v>Delivered</v>
      </c>
      <c r="I231" s="2" t="s">
        <v>17</v>
      </c>
      <c r="J231" s="24" t="s">
        <v>1054</v>
      </c>
      <c r="K231" s="3">
        <v>45979</v>
      </c>
      <c r="L231" s="2">
        <v>2</v>
      </c>
      <c r="M231" s="2">
        <v>1</v>
      </c>
      <c r="N231" s="2">
        <v>3</v>
      </c>
      <c r="O231" s="36">
        <v>2</v>
      </c>
      <c r="P231" s="24" t="str" cm="1">
        <f t="array" ref="P231">_xlfn.IFS(O231&lt;=6,"Detractors",AND(O231&gt;=7,O231&lt;=8),"Passives",AND(O231&gt;8,O231&lt;=10),"Promoters",O231="Not Available","NA")</f>
        <v>Detractors</v>
      </c>
    </row>
    <row r="232" spans="1:16" ht="14.25" customHeight="1" x14ac:dyDescent="0.3">
      <c r="A232" s="2" t="s">
        <v>258</v>
      </c>
      <c r="B232" s="2" t="s">
        <v>32</v>
      </c>
      <c r="C232" s="2" t="s">
        <v>16</v>
      </c>
      <c r="D232" s="3">
        <v>45933</v>
      </c>
      <c r="E232" s="3">
        <v>45934</v>
      </c>
      <c r="F232" s="3">
        <v>45938</v>
      </c>
      <c r="G232" s="3">
        <v>45942</v>
      </c>
      <c r="H232" s="23" t="str">
        <f t="shared" si="3"/>
        <v>Delivered</v>
      </c>
      <c r="I232" s="2" t="s">
        <v>17</v>
      </c>
      <c r="J232" s="24" t="s">
        <v>1054</v>
      </c>
      <c r="K232" s="3">
        <v>45952</v>
      </c>
      <c r="L232" s="2">
        <v>1</v>
      </c>
      <c r="M232" s="2">
        <v>4</v>
      </c>
      <c r="N232" s="2">
        <v>4</v>
      </c>
      <c r="O232" s="36">
        <v>2</v>
      </c>
      <c r="P232" s="24" t="str" cm="1">
        <f t="array" ref="P232">_xlfn.IFS(O232&lt;=6,"Detractors",AND(O232&gt;=7,O232&lt;=8),"Passives",AND(O232&gt;8,O232&lt;=10),"Promoters",O232="Not Available","NA")</f>
        <v>Detractors</v>
      </c>
    </row>
    <row r="233" spans="1:16" ht="14.25" customHeight="1" x14ac:dyDescent="0.3">
      <c r="A233" s="2" t="s">
        <v>259</v>
      </c>
      <c r="B233" s="2" t="s">
        <v>21</v>
      </c>
      <c r="C233" s="2" t="s">
        <v>16</v>
      </c>
      <c r="D233" s="3">
        <v>45936</v>
      </c>
      <c r="E233" s="3">
        <v>45941</v>
      </c>
      <c r="F233" s="3">
        <v>45942</v>
      </c>
      <c r="G233" s="3">
        <v>45949</v>
      </c>
      <c r="H233" s="23" t="str">
        <f t="shared" si="3"/>
        <v>Delivered</v>
      </c>
      <c r="I233" s="2" t="s">
        <v>17</v>
      </c>
      <c r="J233" s="24" t="s">
        <v>1054</v>
      </c>
      <c r="K233" s="3">
        <v>45972</v>
      </c>
      <c r="L233" s="2">
        <v>5</v>
      </c>
      <c r="M233" s="2">
        <v>1</v>
      </c>
      <c r="N233" s="2">
        <v>7</v>
      </c>
      <c r="O233" s="36">
        <v>8</v>
      </c>
      <c r="P233" s="24" t="str" cm="1">
        <f t="array" ref="P233">_xlfn.IFS(O233&lt;=6,"Detractors",AND(O233&gt;=7,O233&lt;=8),"Passives",AND(O233&gt;8,O233&lt;=10),"Promoters",O233="Not Available","NA")</f>
        <v>Passives</v>
      </c>
    </row>
    <row r="234" spans="1:16" ht="14.25" customHeight="1" x14ac:dyDescent="0.3">
      <c r="A234" s="2" t="s">
        <v>260</v>
      </c>
      <c r="B234" s="2" t="s">
        <v>21</v>
      </c>
      <c r="C234" s="2" t="s">
        <v>16</v>
      </c>
      <c r="D234" s="3">
        <v>45938</v>
      </c>
      <c r="E234" s="3">
        <v>45939</v>
      </c>
      <c r="F234" s="3">
        <v>45941</v>
      </c>
      <c r="G234" s="3">
        <v>45945</v>
      </c>
      <c r="H234" s="23" t="str">
        <f t="shared" si="3"/>
        <v>Delivered</v>
      </c>
      <c r="I234" s="2" t="s">
        <v>23</v>
      </c>
      <c r="J234" s="2" t="s">
        <v>63</v>
      </c>
      <c r="L234" s="2">
        <v>1</v>
      </c>
      <c r="M234" s="2">
        <v>2</v>
      </c>
      <c r="N234" s="2">
        <v>4</v>
      </c>
      <c r="O234" t="s">
        <v>1080</v>
      </c>
      <c r="P234" s="24" t="str" cm="1">
        <f t="array" ref="P234">_xlfn.IFS(O234&lt;=6,"Detractors",AND(O234&gt;=7,O234&lt;=8),"Passives",AND(O234&gt;8,O234&lt;=10),"Promoters",O234="Not Available","NA")</f>
        <v>NA</v>
      </c>
    </row>
    <row r="235" spans="1:16" ht="14.25" customHeight="1" x14ac:dyDescent="0.3">
      <c r="A235" s="42" t="s">
        <v>261</v>
      </c>
      <c r="B235" s="2" t="s">
        <v>21</v>
      </c>
      <c r="C235" s="2" t="s">
        <v>30</v>
      </c>
      <c r="D235" s="3">
        <v>45936</v>
      </c>
      <c r="E235" s="3">
        <v>45941</v>
      </c>
      <c r="F235" s="3">
        <v>45943</v>
      </c>
      <c r="G235" s="3">
        <v>45947</v>
      </c>
      <c r="H235" s="23" t="str">
        <f t="shared" si="3"/>
        <v>Delivered</v>
      </c>
      <c r="I235" s="2" t="s">
        <v>17</v>
      </c>
      <c r="J235" s="24" t="s">
        <v>1054</v>
      </c>
      <c r="K235" s="3">
        <v>45959</v>
      </c>
      <c r="L235" s="2">
        <v>5</v>
      </c>
      <c r="M235" s="2">
        <v>2</v>
      </c>
      <c r="N235" s="2">
        <v>4</v>
      </c>
      <c r="O235" s="36">
        <v>9</v>
      </c>
      <c r="P235" s="24" t="str" cm="1">
        <f t="array" ref="P235">_xlfn.IFS(O235&lt;=6,"Detractors",AND(O235&gt;=7,O235&lt;=8),"Passives",AND(O235&gt;8,O235&lt;=10),"Promoters",O235="Not Available","NA")</f>
        <v>Promoters</v>
      </c>
    </row>
    <row r="236" spans="1:16" ht="14.25" customHeight="1" x14ac:dyDescent="0.3">
      <c r="A236" s="42" t="s">
        <v>262</v>
      </c>
      <c r="B236" s="2" t="s">
        <v>32</v>
      </c>
      <c r="C236" s="2" t="s">
        <v>30</v>
      </c>
      <c r="D236" s="3">
        <v>45948</v>
      </c>
      <c r="E236" s="3">
        <v>45953</v>
      </c>
      <c r="F236" s="3">
        <v>45957</v>
      </c>
      <c r="G236" s="3">
        <v>45963</v>
      </c>
      <c r="H236" s="23" t="str">
        <f t="shared" si="3"/>
        <v>Delivered</v>
      </c>
      <c r="I236" s="2" t="s">
        <v>17</v>
      </c>
      <c r="J236" s="24" t="s">
        <v>1054</v>
      </c>
      <c r="K236" s="3">
        <v>45982</v>
      </c>
      <c r="L236" s="2">
        <v>5</v>
      </c>
      <c r="M236" s="2">
        <v>4</v>
      </c>
      <c r="N236" s="2">
        <v>6</v>
      </c>
      <c r="O236" s="36">
        <v>4</v>
      </c>
      <c r="P236" s="24" t="str" cm="1">
        <f t="array" ref="P236">_xlfn.IFS(O236&lt;=6,"Detractors",AND(O236&gt;=7,O236&lt;=8),"Passives",AND(O236&gt;8,O236&lt;=10),"Promoters",O236="Not Available","NA")</f>
        <v>Detractors</v>
      </c>
    </row>
    <row r="237" spans="1:16" ht="14.25" customHeight="1" x14ac:dyDescent="0.3">
      <c r="A237" s="42" t="s">
        <v>263</v>
      </c>
      <c r="B237" s="2" t="s">
        <v>19</v>
      </c>
      <c r="C237" s="2" t="s">
        <v>30</v>
      </c>
      <c r="D237" s="3">
        <v>45933</v>
      </c>
      <c r="E237" s="3">
        <v>45935</v>
      </c>
      <c r="F237" s="3">
        <v>45938</v>
      </c>
      <c r="G237" s="3">
        <v>45942</v>
      </c>
      <c r="H237" s="23" t="str">
        <f t="shared" si="3"/>
        <v>Delivered</v>
      </c>
      <c r="I237" s="2" t="s">
        <v>17</v>
      </c>
      <c r="J237" s="24" t="s">
        <v>1054</v>
      </c>
      <c r="K237" s="3">
        <v>45972</v>
      </c>
      <c r="L237" s="2">
        <v>2</v>
      </c>
      <c r="M237" s="2">
        <v>3</v>
      </c>
      <c r="N237" s="2">
        <v>4</v>
      </c>
      <c r="O237" s="36">
        <v>7</v>
      </c>
      <c r="P237" s="24" t="str" cm="1">
        <f t="array" ref="P237">_xlfn.IFS(O237&lt;=6,"Detractors",AND(O237&gt;=7,O237&lt;=8),"Passives",AND(O237&gt;8,O237&lt;=10),"Promoters",O237="Not Available","NA")</f>
        <v>Passives</v>
      </c>
    </row>
    <row r="238" spans="1:16" ht="14.25" customHeight="1" x14ac:dyDescent="0.3">
      <c r="A238" s="42" t="s">
        <v>264</v>
      </c>
      <c r="B238" s="2" t="s">
        <v>19</v>
      </c>
      <c r="C238" s="2" t="s">
        <v>30</v>
      </c>
      <c r="D238" s="3">
        <v>45936</v>
      </c>
      <c r="E238" s="3">
        <v>45939</v>
      </c>
      <c r="F238" s="3">
        <v>45941</v>
      </c>
      <c r="G238" s="3">
        <v>45947</v>
      </c>
      <c r="H238" s="23" t="str">
        <f t="shared" si="3"/>
        <v>Delivered</v>
      </c>
      <c r="I238" s="2" t="s">
        <v>17</v>
      </c>
      <c r="J238" s="24" t="s">
        <v>1054</v>
      </c>
      <c r="K238" s="3">
        <v>45976</v>
      </c>
      <c r="L238" s="2">
        <v>3</v>
      </c>
      <c r="M238" s="2">
        <v>2</v>
      </c>
      <c r="N238" s="2">
        <v>6</v>
      </c>
      <c r="O238" s="36">
        <v>7</v>
      </c>
      <c r="P238" s="24" t="str" cm="1">
        <f t="array" ref="P238">_xlfn.IFS(O238&lt;=6,"Detractors",AND(O238&gt;=7,O238&lt;=8),"Passives",AND(O238&gt;8,O238&lt;=10),"Promoters",O238="Not Available","NA")</f>
        <v>Passives</v>
      </c>
    </row>
    <row r="239" spans="1:16" ht="14.25" customHeight="1" x14ac:dyDescent="0.3">
      <c r="A239" s="2" t="s">
        <v>265</v>
      </c>
      <c r="B239" s="2" t="s">
        <v>19</v>
      </c>
      <c r="C239" s="2" t="s">
        <v>16</v>
      </c>
      <c r="D239" s="3">
        <v>45931</v>
      </c>
      <c r="E239" s="3">
        <v>45934</v>
      </c>
      <c r="F239" s="3">
        <v>45935</v>
      </c>
      <c r="G239" s="3">
        <v>45942</v>
      </c>
      <c r="H239" s="23" t="str">
        <f t="shared" si="3"/>
        <v>Delivered</v>
      </c>
      <c r="I239" s="2" t="s">
        <v>17</v>
      </c>
      <c r="J239" s="24" t="s">
        <v>1054</v>
      </c>
      <c r="K239" s="3">
        <v>45967</v>
      </c>
      <c r="L239" s="2">
        <v>3</v>
      </c>
      <c r="M239" s="2">
        <v>1</v>
      </c>
      <c r="N239" s="2">
        <v>7</v>
      </c>
      <c r="O239" s="36">
        <v>0</v>
      </c>
      <c r="P239" s="24" t="str" cm="1">
        <f t="array" ref="P239">_xlfn.IFS(O239&lt;=6,"Detractors",AND(O239&gt;=7,O239&lt;=8),"Passives",AND(O239&gt;8,O239&lt;=10),"Promoters",O239="Not Available","NA")</f>
        <v>Detractors</v>
      </c>
    </row>
    <row r="240" spans="1:16" ht="14.25" customHeight="1" x14ac:dyDescent="0.3">
      <c r="A240" s="2" t="s">
        <v>266</v>
      </c>
      <c r="B240" s="2" t="s">
        <v>32</v>
      </c>
      <c r="C240" s="2" t="s">
        <v>16</v>
      </c>
      <c r="D240" s="3">
        <v>45944</v>
      </c>
      <c r="E240" s="3">
        <v>45946</v>
      </c>
      <c r="F240" s="3">
        <v>45949</v>
      </c>
      <c r="G240" s="3">
        <v>45951</v>
      </c>
      <c r="H240" s="23" t="str">
        <f t="shared" si="3"/>
        <v>Delivered</v>
      </c>
      <c r="I240" s="2" t="s">
        <v>17</v>
      </c>
      <c r="J240" s="24" t="s">
        <v>1054</v>
      </c>
      <c r="K240" s="3">
        <v>45967</v>
      </c>
      <c r="L240" s="2">
        <v>2</v>
      </c>
      <c r="M240" s="2">
        <v>3</v>
      </c>
      <c r="N240" s="2">
        <v>2</v>
      </c>
      <c r="O240" s="36">
        <v>1</v>
      </c>
      <c r="P240" s="24" t="str" cm="1">
        <f t="array" ref="P240">_xlfn.IFS(O240&lt;=6,"Detractors",AND(O240&gt;=7,O240&lt;=8),"Passives",AND(O240&gt;8,O240&lt;=10),"Promoters",O240="Not Available","NA")</f>
        <v>Detractors</v>
      </c>
    </row>
    <row r="241" spans="1:16" ht="14.25" customHeight="1" x14ac:dyDescent="0.3">
      <c r="A241" s="2" t="s">
        <v>267</v>
      </c>
      <c r="B241" s="2" t="s">
        <v>21</v>
      </c>
      <c r="C241" s="2" t="s">
        <v>30</v>
      </c>
      <c r="D241" s="3">
        <v>45945</v>
      </c>
      <c r="E241" s="3">
        <v>45947</v>
      </c>
      <c r="F241" s="3">
        <v>45951</v>
      </c>
      <c r="G241" s="3">
        <v>45954</v>
      </c>
      <c r="H241" s="23" t="str">
        <f t="shared" si="3"/>
        <v>Delivered</v>
      </c>
      <c r="I241" s="2" t="s">
        <v>23</v>
      </c>
      <c r="J241" s="2" t="s">
        <v>63</v>
      </c>
      <c r="L241" s="2">
        <v>2</v>
      </c>
      <c r="M241" s="2">
        <v>4</v>
      </c>
      <c r="N241" s="2">
        <v>3</v>
      </c>
      <c r="O241" t="s">
        <v>1080</v>
      </c>
      <c r="P241" s="24" t="str" cm="1">
        <f t="array" ref="P241">_xlfn.IFS(O241&lt;=6,"Detractors",AND(O241&gt;=7,O241&lt;=8),"Passives",AND(O241&gt;8,O241&lt;=10),"Promoters",O241="Not Available","NA")</f>
        <v>NA</v>
      </c>
    </row>
    <row r="242" spans="1:16" ht="14.25" customHeight="1" x14ac:dyDescent="0.3">
      <c r="A242" s="2" t="s">
        <v>268</v>
      </c>
      <c r="B242" s="2" t="s">
        <v>19</v>
      </c>
      <c r="C242" s="2" t="s">
        <v>16</v>
      </c>
      <c r="D242" s="3">
        <v>45953</v>
      </c>
      <c r="E242" s="3">
        <v>45954</v>
      </c>
      <c r="F242" s="3">
        <v>45956</v>
      </c>
      <c r="G242" s="3">
        <v>45961</v>
      </c>
      <c r="H242" s="23" t="str">
        <f t="shared" si="3"/>
        <v>Delivered</v>
      </c>
      <c r="I242" s="2" t="s">
        <v>17</v>
      </c>
      <c r="J242" s="24" t="s">
        <v>1054</v>
      </c>
      <c r="K242" s="3">
        <v>45974</v>
      </c>
      <c r="L242" s="2">
        <v>1</v>
      </c>
      <c r="M242" s="2">
        <v>2</v>
      </c>
      <c r="N242" s="2">
        <v>5</v>
      </c>
      <c r="O242" s="36">
        <v>9</v>
      </c>
      <c r="P242" s="24" t="str" cm="1">
        <f t="array" ref="P242">_xlfn.IFS(O242&lt;=6,"Detractors",AND(O242&gt;=7,O242&lt;=8),"Passives",AND(O242&gt;8,O242&lt;=10),"Promoters",O242="Not Available","NA")</f>
        <v>Promoters</v>
      </c>
    </row>
    <row r="243" spans="1:16" ht="14.25" customHeight="1" x14ac:dyDescent="0.3">
      <c r="A243" s="42" t="s">
        <v>269</v>
      </c>
      <c r="B243" s="2" t="s">
        <v>32</v>
      </c>
      <c r="C243" s="2" t="s">
        <v>30</v>
      </c>
      <c r="D243" s="3">
        <v>45950</v>
      </c>
      <c r="E243" s="3">
        <v>45952</v>
      </c>
      <c r="F243" s="3">
        <v>45956</v>
      </c>
      <c r="G243" s="3">
        <v>45958</v>
      </c>
      <c r="H243" s="23" t="str">
        <f t="shared" si="3"/>
        <v>Delivered</v>
      </c>
      <c r="I243" s="2" t="s">
        <v>17</v>
      </c>
      <c r="J243" s="24" t="s">
        <v>1054</v>
      </c>
      <c r="K243" s="3">
        <v>45968</v>
      </c>
      <c r="L243" s="2">
        <v>2</v>
      </c>
      <c r="M243" s="2">
        <v>4</v>
      </c>
      <c r="N243" s="2">
        <v>2</v>
      </c>
      <c r="O243" s="36">
        <v>1</v>
      </c>
      <c r="P243" s="24" t="str" cm="1">
        <f t="array" ref="P243">_xlfn.IFS(O243&lt;=6,"Detractors",AND(O243&gt;=7,O243&lt;=8),"Passives",AND(O243&gt;8,O243&lt;=10),"Promoters",O243="Not Available","NA")</f>
        <v>Detractors</v>
      </c>
    </row>
    <row r="244" spans="1:16" ht="14.25" customHeight="1" x14ac:dyDescent="0.3">
      <c r="A244" s="2" t="s">
        <v>270</v>
      </c>
      <c r="B244" s="2" t="s">
        <v>19</v>
      </c>
      <c r="C244" s="2" t="s">
        <v>22</v>
      </c>
      <c r="D244" s="3">
        <v>45946</v>
      </c>
      <c r="H244" s="23" t="str">
        <f t="shared" si="3"/>
        <v>Not Delivered</v>
      </c>
      <c r="I244" s="2" t="s">
        <v>23</v>
      </c>
      <c r="J244" s="2" t="s">
        <v>24</v>
      </c>
      <c r="L244">
        <v>0</v>
      </c>
      <c r="M244">
        <v>0</v>
      </c>
      <c r="N244">
        <v>0</v>
      </c>
      <c r="O244" t="s">
        <v>1080</v>
      </c>
      <c r="P244" s="24" t="str" cm="1">
        <f t="array" ref="P244">_xlfn.IFS(O244&lt;=6,"Detractors",AND(O244&gt;=7,O244&lt;=8),"Passives",AND(O244&gt;8,O244&lt;=10),"Promoters",O244="Not Available","NA")</f>
        <v>NA</v>
      </c>
    </row>
    <row r="245" spans="1:16" ht="14.25" customHeight="1" x14ac:dyDescent="0.3">
      <c r="A245" s="2" t="s">
        <v>271</v>
      </c>
      <c r="B245" s="2" t="s">
        <v>15</v>
      </c>
      <c r="C245" s="2" t="s">
        <v>22</v>
      </c>
      <c r="D245" s="3">
        <v>45940</v>
      </c>
      <c r="H245" s="23" t="str">
        <f t="shared" si="3"/>
        <v>Not Delivered</v>
      </c>
      <c r="I245" s="2" t="s">
        <v>23</v>
      </c>
      <c r="J245" s="2" t="s">
        <v>63</v>
      </c>
      <c r="L245">
        <v>0</v>
      </c>
      <c r="M245">
        <v>0</v>
      </c>
      <c r="N245">
        <v>0</v>
      </c>
      <c r="O245" t="s">
        <v>1080</v>
      </c>
      <c r="P245" s="24" t="str" cm="1">
        <f t="array" ref="P245">_xlfn.IFS(O245&lt;=6,"Detractors",AND(O245&gt;=7,O245&lt;=8),"Passives",AND(O245&gt;8,O245&lt;=10),"Promoters",O245="Not Available","NA")</f>
        <v>NA</v>
      </c>
    </row>
    <row r="246" spans="1:16" ht="14.25" customHeight="1" x14ac:dyDescent="0.3">
      <c r="A246" s="42" t="s">
        <v>272</v>
      </c>
      <c r="B246" s="2" t="s">
        <v>19</v>
      </c>
      <c r="C246" s="2" t="s">
        <v>30</v>
      </c>
      <c r="D246" s="3">
        <v>45932</v>
      </c>
      <c r="E246" s="3">
        <v>45935</v>
      </c>
      <c r="F246" s="3">
        <v>45938</v>
      </c>
      <c r="G246" s="3">
        <v>45942</v>
      </c>
      <c r="H246" s="23" t="str">
        <f t="shared" si="3"/>
        <v>Delivered</v>
      </c>
      <c r="I246" s="2" t="s">
        <v>17</v>
      </c>
      <c r="J246" s="24" t="s">
        <v>1054</v>
      </c>
      <c r="K246" s="3">
        <v>45958</v>
      </c>
      <c r="L246" s="2">
        <v>3</v>
      </c>
      <c r="M246" s="2">
        <v>3</v>
      </c>
      <c r="N246" s="2">
        <v>4</v>
      </c>
      <c r="O246" s="36">
        <v>6</v>
      </c>
      <c r="P246" s="24" t="str" cm="1">
        <f t="array" ref="P246">_xlfn.IFS(O246&lt;=6,"Detractors",AND(O246&gt;=7,O246&lt;=8),"Passives",AND(O246&gt;8,O246&lt;=10),"Promoters",O246="Not Available","NA")</f>
        <v>Detractors</v>
      </c>
    </row>
    <row r="247" spans="1:16" ht="14.25" customHeight="1" x14ac:dyDescent="0.3">
      <c r="A247" s="2" t="s">
        <v>273</v>
      </c>
      <c r="B247" s="2" t="s">
        <v>19</v>
      </c>
      <c r="C247" s="2" t="s">
        <v>16</v>
      </c>
      <c r="D247" s="3">
        <v>45938</v>
      </c>
      <c r="E247" s="3">
        <v>45940</v>
      </c>
      <c r="F247" s="3">
        <v>45943</v>
      </c>
      <c r="G247" s="3">
        <v>45950</v>
      </c>
      <c r="H247" s="23" t="str">
        <f t="shared" si="3"/>
        <v>Delivered</v>
      </c>
      <c r="I247" s="2" t="s">
        <v>23</v>
      </c>
      <c r="J247" s="2" t="s">
        <v>33</v>
      </c>
      <c r="L247" s="2">
        <v>2</v>
      </c>
      <c r="M247" s="2">
        <v>3</v>
      </c>
      <c r="N247" s="2">
        <v>7</v>
      </c>
      <c r="O247" t="s">
        <v>1080</v>
      </c>
      <c r="P247" s="24" t="str" cm="1">
        <f t="array" ref="P247">_xlfn.IFS(O247&lt;=6,"Detractors",AND(O247&gt;=7,O247&lt;=8),"Passives",AND(O247&gt;8,O247&lt;=10),"Promoters",O247="Not Available","NA")</f>
        <v>NA</v>
      </c>
    </row>
    <row r="248" spans="1:16" ht="14.25" customHeight="1" x14ac:dyDescent="0.3">
      <c r="A248" s="42" t="s">
        <v>274</v>
      </c>
      <c r="B248" s="2" t="s">
        <v>21</v>
      </c>
      <c r="C248" s="2" t="s">
        <v>30</v>
      </c>
      <c r="D248" s="3">
        <v>45940</v>
      </c>
      <c r="E248" s="3">
        <v>45942</v>
      </c>
      <c r="F248" s="3">
        <v>45945</v>
      </c>
      <c r="G248" s="3">
        <v>45948</v>
      </c>
      <c r="H248" s="23" t="str">
        <f t="shared" si="3"/>
        <v>Delivered</v>
      </c>
      <c r="I248" s="2" t="s">
        <v>17</v>
      </c>
      <c r="J248" s="24" t="s">
        <v>1054</v>
      </c>
      <c r="K248" s="3">
        <v>45963</v>
      </c>
      <c r="L248" s="2">
        <v>2</v>
      </c>
      <c r="M248" s="2">
        <v>3</v>
      </c>
      <c r="N248" s="2">
        <v>3</v>
      </c>
      <c r="O248" s="36">
        <v>6</v>
      </c>
      <c r="P248" s="24" t="str" cm="1">
        <f t="array" ref="P248">_xlfn.IFS(O248&lt;=6,"Detractors",AND(O248&gt;=7,O248&lt;=8),"Passives",AND(O248&gt;8,O248&lt;=10),"Promoters",O248="Not Available","NA")</f>
        <v>Detractors</v>
      </c>
    </row>
    <row r="249" spans="1:16" ht="14.25" customHeight="1" x14ac:dyDescent="0.3">
      <c r="A249" s="2" t="s">
        <v>275</v>
      </c>
      <c r="B249" s="2" t="s">
        <v>32</v>
      </c>
      <c r="C249" s="2" t="s">
        <v>16</v>
      </c>
      <c r="D249" s="3">
        <v>45953</v>
      </c>
      <c r="E249" s="3">
        <v>45958</v>
      </c>
      <c r="F249" s="3">
        <v>45963</v>
      </c>
      <c r="G249" s="3">
        <v>45970</v>
      </c>
      <c r="H249" s="23" t="str">
        <f t="shared" si="3"/>
        <v>Delivered</v>
      </c>
      <c r="I249" s="2" t="s">
        <v>17</v>
      </c>
      <c r="J249" s="24" t="s">
        <v>1054</v>
      </c>
      <c r="K249" s="3">
        <v>46000</v>
      </c>
      <c r="L249" s="2">
        <v>5</v>
      </c>
      <c r="M249" s="2">
        <v>5</v>
      </c>
      <c r="N249" s="2">
        <v>7</v>
      </c>
      <c r="O249" s="36">
        <v>4</v>
      </c>
      <c r="P249" s="24" t="str" cm="1">
        <f t="array" ref="P249">_xlfn.IFS(O249&lt;=6,"Detractors",AND(O249&gt;=7,O249&lt;=8),"Passives",AND(O249&gt;8,O249&lt;=10),"Promoters",O249="Not Available","NA")</f>
        <v>Detractors</v>
      </c>
    </row>
    <row r="250" spans="1:16" ht="14.25" customHeight="1" x14ac:dyDescent="0.3">
      <c r="A250" s="2" t="s">
        <v>276</v>
      </c>
      <c r="B250" s="2" t="s">
        <v>21</v>
      </c>
      <c r="C250" s="2" t="s">
        <v>16</v>
      </c>
      <c r="D250" s="3">
        <v>45940</v>
      </c>
      <c r="E250" s="3">
        <v>45942</v>
      </c>
      <c r="F250" s="3">
        <v>45947</v>
      </c>
      <c r="G250" s="3">
        <v>45950</v>
      </c>
      <c r="H250" s="23" t="str">
        <f t="shared" si="3"/>
        <v>Delivered</v>
      </c>
      <c r="I250" s="2" t="s">
        <v>17</v>
      </c>
      <c r="J250" s="24" t="s">
        <v>1054</v>
      </c>
      <c r="K250" s="3">
        <v>45969</v>
      </c>
      <c r="L250" s="2">
        <v>2</v>
      </c>
      <c r="M250" s="2">
        <v>5</v>
      </c>
      <c r="N250" s="2">
        <v>3</v>
      </c>
      <c r="O250" s="36">
        <v>7</v>
      </c>
      <c r="P250" s="24" t="str" cm="1">
        <f t="array" ref="P250">_xlfn.IFS(O250&lt;=6,"Detractors",AND(O250&gt;=7,O250&lt;=8),"Passives",AND(O250&gt;8,O250&lt;=10),"Promoters",O250="Not Available","NA")</f>
        <v>Passives</v>
      </c>
    </row>
    <row r="251" spans="1:16" ht="14.25" customHeight="1" x14ac:dyDescent="0.3">
      <c r="A251" s="42" t="s">
        <v>277</v>
      </c>
      <c r="B251" s="2" t="s">
        <v>21</v>
      </c>
      <c r="C251" s="2" t="s">
        <v>30</v>
      </c>
      <c r="D251" s="3">
        <v>45953</v>
      </c>
      <c r="E251" s="3">
        <v>45954</v>
      </c>
      <c r="F251" s="3">
        <v>45955</v>
      </c>
      <c r="G251" s="3">
        <v>45958</v>
      </c>
      <c r="H251" s="23" t="str">
        <f t="shared" si="3"/>
        <v>Delivered</v>
      </c>
      <c r="I251" s="2" t="s">
        <v>17</v>
      </c>
      <c r="J251" s="24" t="s">
        <v>1054</v>
      </c>
      <c r="K251" s="3">
        <v>45970</v>
      </c>
      <c r="L251" s="2">
        <v>1</v>
      </c>
      <c r="M251" s="2">
        <v>1</v>
      </c>
      <c r="N251" s="2">
        <v>3</v>
      </c>
      <c r="O251" s="36">
        <v>3</v>
      </c>
      <c r="P251" s="24" t="str" cm="1">
        <f t="array" ref="P251">_xlfn.IFS(O251&lt;=6,"Detractors",AND(O251&gt;=7,O251&lt;=8),"Passives",AND(O251&gt;8,O251&lt;=10),"Promoters",O251="Not Available","NA")</f>
        <v>Detractors</v>
      </c>
    </row>
    <row r="252" spans="1:16" ht="14.25" customHeight="1" x14ac:dyDescent="0.3">
      <c r="A252" s="2" t="s">
        <v>278</v>
      </c>
      <c r="B252" s="2" t="s">
        <v>21</v>
      </c>
      <c r="C252" s="2" t="s">
        <v>16</v>
      </c>
      <c r="D252" s="3">
        <v>45958</v>
      </c>
      <c r="E252" s="3">
        <v>45960</v>
      </c>
      <c r="F252" s="3">
        <v>45963</v>
      </c>
      <c r="G252" s="3">
        <v>45966</v>
      </c>
      <c r="H252" s="23" t="str">
        <f t="shared" si="3"/>
        <v>Delivered</v>
      </c>
      <c r="I252" s="2" t="s">
        <v>17</v>
      </c>
      <c r="J252" s="24" t="s">
        <v>1054</v>
      </c>
      <c r="K252" s="3">
        <v>45991</v>
      </c>
      <c r="L252" s="2">
        <v>2</v>
      </c>
      <c r="M252" s="2">
        <v>3</v>
      </c>
      <c r="N252" s="2">
        <v>3</v>
      </c>
      <c r="O252" s="36">
        <v>2</v>
      </c>
      <c r="P252" s="24" t="str" cm="1">
        <f t="array" ref="P252">_xlfn.IFS(O252&lt;=6,"Detractors",AND(O252&gt;=7,O252&lt;=8),"Passives",AND(O252&gt;8,O252&lt;=10),"Promoters",O252="Not Available","NA")</f>
        <v>Detractors</v>
      </c>
    </row>
    <row r="253" spans="1:16" ht="14.25" customHeight="1" x14ac:dyDescent="0.3">
      <c r="A253" s="42" t="s">
        <v>279</v>
      </c>
      <c r="B253" s="2" t="s">
        <v>21</v>
      </c>
      <c r="C253" s="2" t="s">
        <v>30</v>
      </c>
      <c r="D253" s="3">
        <v>45945</v>
      </c>
      <c r="E253" s="3">
        <v>45949</v>
      </c>
      <c r="F253" s="3">
        <v>45952</v>
      </c>
      <c r="G253" s="3">
        <v>45959</v>
      </c>
      <c r="H253" s="23" t="str">
        <f t="shared" si="3"/>
        <v>Delivered</v>
      </c>
      <c r="I253" s="2" t="s">
        <v>17</v>
      </c>
      <c r="J253" s="24" t="s">
        <v>1054</v>
      </c>
      <c r="K253" s="3">
        <v>45972</v>
      </c>
      <c r="L253" s="2">
        <v>4</v>
      </c>
      <c r="M253" s="2">
        <v>3</v>
      </c>
      <c r="N253" s="2">
        <v>7</v>
      </c>
      <c r="O253" s="36">
        <v>6</v>
      </c>
      <c r="P253" s="24" t="str" cm="1">
        <f t="array" ref="P253">_xlfn.IFS(O253&lt;=6,"Detractors",AND(O253&gt;=7,O253&lt;=8),"Passives",AND(O253&gt;8,O253&lt;=10),"Promoters",O253="Not Available","NA")</f>
        <v>Detractors</v>
      </c>
    </row>
    <row r="254" spans="1:16" ht="14.25" customHeight="1" x14ac:dyDescent="0.3">
      <c r="A254" s="42" t="s">
        <v>280</v>
      </c>
      <c r="B254" s="2" t="s">
        <v>21</v>
      </c>
      <c r="C254" s="2" t="s">
        <v>30</v>
      </c>
      <c r="D254" s="3">
        <v>45933</v>
      </c>
      <c r="E254" s="3">
        <v>45937</v>
      </c>
      <c r="F254" s="3">
        <v>45939</v>
      </c>
      <c r="G254" s="3">
        <v>45943</v>
      </c>
      <c r="H254" s="23" t="str">
        <f t="shared" si="3"/>
        <v>Delivered</v>
      </c>
      <c r="I254" s="2" t="s">
        <v>17</v>
      </c>
      <c r="J254" s="24" t="s">
        <v>1054</v>
      </c>
      <c r="K254" s="3">
        <v>45962</v>
      </c>
      <c r="L254" s="2">
        <v>4</v>
      </c>
      <c r="M254" s="2">
        <v>2</v>
      </c>
      <c r="N254" s="2">
        <v>4</v>
      </c>
      <c r="O254" s="36">
        <v>10</v>
      </c>
      <c r="P254" s="24" t="str" cm="1">
        <f t="array" ref="P254">_xlfn.IFS(O254&lt;=6,"Detractors",AND(O254&gt;=7,O254&lt;=8),"Passives",AND(O254&gt;8,O254&lt;=10),"Promoters",O254="Not Available","NA")</f>
        <v>Promoters</v>
      </c>
    </row>
    <row r="255" spans="1:16" ht="14.25" customHeight="1" x14ac:dyDescent="0.3">
      <c r="A255" s="2" t="s">
        <v>281</v>
      </c>
      <c r="B255" s="2" t="s">
        <v>19</v>
      </c>
      <c r="C255" s="2" t="s">
        <v>16</v>
      </c>
      <c r="D255" s="3">
        <v>45952</v>
      </c>
      <c r="E255" s="3">
        <v>45957</v>
      </c>
      <c r="F255" s="3">
        <v>45958</v>
      </c>
      <c r="G255" s="3">
        <v>45961</v>
      </c>
      <c r="H255" s="23" t="str">
        <f t="shared" si="3"/>
        <v>Delivered</v>
      </c>
      <c r="I255" s="2" t="s">
        <v>17</v>
      </c>
      <c r="J255" s="24" t="s">
        <v>1054</v>
      </c>
      <c r="K255" s="3">
        <v>45983</v>
      </c>
      <c r="L255" s="2">
        <v>5</v>
      </c>
      <c r="M255" s="2">
        <v>1</v>
      </c>
      <c r="N255" s="2">
        <v>3</v>
      </c>
      <c r="O255" s="36">
        <v>4</v>
      </c>
      <c r="P255" s="24" t="str" cm="1">
        <f t="array" ref="P255">_xlfn.IFS(O255&lt;=6,"Detractors",AND(O255&gt;=7,O255&lt;=8),"Passives",AND(O255&gt;8,O255&lt;=10),"Promoters",O255="Not Available","NA")</f>
        <v>Detractors</v>
      </c>
    </row>
    <row r="256" spans="1:16" ht="14.25" customHeight="1" x14ac:dyDescent="0.3">
      <c r="A256" s="2" t="s">
        <v>282</v>
      </c>
      <c r="B256" s="2" t="s">
        <v>21</v>
      </c>
      <c r="C256" s="2" t="s">
        <v>16</v>
      </c>
      <c r="D256" s="3">
        <v>45938</v>
      </c>
      <c r="E256" s="3">
        <v>45943</v>
      </c>
      <c r="F256" s="3">
        <v>45944</v>
      </c>
      <c r="G256" s="3">
        <v>45951</v>
      </c>
      <c r="H256" s="23" t="str">
        <f t="shared" si="3"/>
        <v>Delivered</v>
      </c>
      <c r="I256" s="2" t="s">
        <v>17</v>
      </c>
      <c r="J256" s="24" t="s">
        <v>1054</v>
      </c>
      <c r="K256" s="3">
        <v>45976</v>
      </c>
      <c r="L256" s="2">
        <v>5</v>
      </c>
      <c r="M256" s="2">
        <v>1</v>
      </c>
      <c r="N256" s="2">
        <v>7</v>
      </c>
      <c r="O256" s="36">
        <v>5</v>
      </c>
      <c r="P256" s="24" t="str" cm="1">
        <f t="array" ref="P256">_xlfn.IFS(O256&lt;=6,"Detractors",AND(O256&gt;=7,O256&lt;=8),"Passives",AND(O256&gt;8,O256&lt;=10),"Promoters",O256="Not Available","NA")</f>
        <v>Detractors</v>
      </c>
    </row>
    <row r="257" spans="1:16" ht="14.25" customHeight="1" x14ac:dyDescent="0.3">
      <c r="A257" s="2" t="s">
        <v>283</v>
      </c>
      <c r="B257" s="2" t="s">
        <v>21</v>
      </c>
      <c r="C257" s="2" t="s">
        <v>16</v>
      </c>
      <c r="D257" s="3">
        <v>45960</v>
      </c>
      <c r="E257" s="3">
        <v>45964</v>
      </c>
      <c r="F257" s="3">
        <v>45968</v>
      </c>
      <c r="G257" s="3">
        <v>45973</v>
      </c>
      <c r="H257" s="23" t="str">
        <f t="shared" si="3"/>
        <v>Delivered</v>
      </c>
      <c r="I257" s="2" t="s">
        <v>23</v>
      </c>
      <c r="J257" s="2" t="s">
        <v>26</v>
      </c>
      <c r="L257" s="2">
        <v>4</v>
      </c>
      <c r="M257" s="2">
        <v>4</v>
      </c>
      <c r="N257" s="2">
        <v>5</v>
      </c>
      <c r="O257" t="s">
        <v>1080</v>
      </c>
      <c r="P257" s="24" t="str" cm="1">
        <f t="array" ref="P257">_xlfn.IFS(O257&lt;=6,"Detractors",AND(O257&gt;=7,O257&lt;=8),"Passives",AND(O257&gt;8,O257&lt;=10),"Promoters",O257="Not Available","NA")</f>
        <v>NA</v>
      </c>
    </row>
    <row r="258" spans="1:16" ht="14.25" customHeight="1" x14ac:dyDescent="0.3">
      <c r="A258" s="2" t="s">
        <v>284</v>
      </c>
      <c r="B258" s="2" t="s">
        <v>32</v>
      </c>
      <c r="C258" s="2" t="s">
        <v>16</v>
      </c>
      <c r="D258" s="3">
        <v>45939</v>
      </c>
      <c r="E258" s="3">
        <v>45944</v>
      </c>
      <c r="F258" s="3">
        <v>45947</v>
      </c>
      <c r="G258" s="3">
        <v>45952</v>
      </c>
      <c r="H258" s="23" t="str">
        <f t="shared" si="3"/>
        <v>Delivered</v>
      </c>
      <c r="I258" s="2" t="s">
        <v>17</v>
      </c>
      <c r="J258" s="24" t="s">
        <v>1054</v>
      </c>
      <c r="K258" s="3">
        <v>45977</v>
      </c>
      <c r="L258" s="2">
        <v>5</v>
      </c>
      <c r="M258" s="2">
        <v>3</v>
      </c>
      <c r="N258" s="2">
        <v>5</v>
      </c>
      <c r="O258" s="36">
        <v>3</v>
      </c>
      <c r="P258" s="24" t="str" cm="1">
        <f t="array" ref="P258">_xlfn.IFS(O258&lt;=6,"Detractors",AND(O258&gt;=7,O258&lt;=8),"Passives",AND(O258&gt;8,O258&lt;=10),"Promoters",O258="Not Available","NA")</f>
        <v>Detractors</v>
      </c>
    </row>
    <row r="259" spans="1:16" ht="14.25" customHeight="1" x14ac:dyDescent="0.3">
      <c r="A259" s="2" t="s">
        <v>285</v>
      </c>
      <c r="B259" s="2" t="s">
        <v>15</v>
      </c>
      <c r="C259" s="2" t="s">
        <v>22</v>
      </c>
      <c r="D259" s="3">
        <v>45956</v>
      </c>
      <c r="H259" s="23" t="str">
        <f t="shared" ref="H259:H322" si="4">IF(G259="", "Not Delivered", "Delivered")</f>
        <v>Not Delivered</v>
      </c>
      <c r="I259" s="2" t="s">
        <v>23</v>
      </c>
      <c r="J259" s="2" t="s">
        <v>63</v>
      </c>
      <c r="L259">
        <v>0</v>
      </c>
      <c r="M259">
        <v>0</v>
      </c>
      <c r="N259">
        <v>0</v>
      </c>
      <c r="O259" t="s">
        <v>1080</v>
      </c>
      <c r="P259" s="24" t="str" cm="1">
        <f t="array" ref="P259">_xlfn.IFS(O259&lt;=6,"Detractors",AND(O259&gt;=7,O259&lt;=8),"Passives",AND(O259&gt;8,O259&lt;=10),"Promoters",O259="Not Available","NA")</f>
        <v>NA</v>
      </c>
    </row>
    <row r="260" spans="1:16" ht="14.25" customHeight="1" x14ac:dyDescent="0.3">
      <c r="A260" s="2" t="s">
        <v>286</v>
      </c>
      <c r="B260" s="2" t="s">
        <v>19</v>
      </c>
      <c r="C260" s="2" t="s">
        <v>30</v>
      </c>
      <c r="D260" s="3">
        <v>45956</v>
      </c>
      <c r="E260" s="3">
        <v>45961</v>
      </c>
      <c r="F260" s="3">
        <v>45963</v>
      </c>
      <c r="G260" s="3">
        <v>45966</v>
      </c>
      <c r="H260" s="23" t="str">
        <f t="shared" si="4"/>
        <v>Delivered</v>
      </c>
      <c r="I260" s="2" t="s">
        <v>23</v>
      </c>
      <c r="J260" s="2" t="s">
        <v>63</v>
      </c>
      <c r="L260" s="2">
        <v>5</v>
      </c>
      <c r="M260" s="2">
        <v>2</v>
      </c>
      <c r="N260" s="2">
        <v>3</v>
      </c>
      <c r="O260" t="s">
        <v>1080</v>
      </c>
      <c r="P260" s="24" t="str" cm="1">
        <f t="array" ref="P260">_xlfn.IFS(O260&lt;=6,"Detractors",AND(O260&gt;=7,O260&lt;=8),"Passives",AND(O260&gt;8,O260&lt;=10),"Promoters",O260="Not Available","NA")</f>
        <v>NA</v>
      </c>
    </row>
    <row r="261" spans="1:16" ht="14.25" customHeight="1" x14ac:dyDescent="0.3">
      <c r="A261" s="2" t="s">
        <v>287</v>
      </c>
      <c r="B261" s="2" t="s">
        <v>19</v>
      </c>
      <c r="C261" s="2" t="s">
        <v>16</v>
      </c>
      <c r="D261" s="3">
        <v>45951</v>
      </c>
      <c r="E261" s="3">
        <v>45954</v>
      </c>
      <c r="F261" s="3">
        <v>45958</v>
      </c>
      <c r="G261" s="3">
        <v>45964</v>
      </c>
      <c r="H261" s="23" t="str">
        <f t="shared" si="4"/>
        <v>Delivered</v>
      </c>
      <c r="I261" s="2" t="s">
        <v>17</v>
      </c>
      <c r="J261" s="24" t="s">
        <v>1054</v>
      </c>
      <c r="K261" s="3">
        <v>45982</v>
      </c>
      <c r="L261" s="2">
        <v>3</v>
      </c>
      <c r="M261" s="2">
        <v>4</v>
      </c>
      <c r="N261" s="2">
        <v>6</v>
      </c>
      <c r="O261" s="36">
        <v>4</v>
      </c>
      <c r="P261" s="24" t="str" cm="1">
        <f t="array" ref="P261">_xlfn.IFS(O261&lt;=6,"Detractors",AND(O261&gt;=7,O261&lt;=8),"Passives",AND(O261&gt;8,O261&lt;=10),"Promoters",O261="Not Available","NA")</f>
        <v>Detractors</v>
      </c>
    </row>
    <row r="262" spans="1:16" ht="14.25" customHeight="1" x14ac:dyDescent="0.3">
      <c r="A262" s="2" t="s">
        <v>288</v>
      </c>
      <c r="B262" s="2" t="s">
        <v>19</v>
      </c>
      <c r="C262" s="2" t="s">
        <v>16</v>
      </c>
      <c r="D262" s="3">
        <v>45949</v>
      </c>
      <c r="E262" s="3">
        <v>45952</v>
      </c>
      <c r="F262" s="3">
        <v>45957</v>
      </c>
      <c r="G262" s="3">
        <v>45964</v>
      </c>
      <c r="H262" s="23" t="str">
        <f t="shared" si="4"/>
        <v>Delivered</v>
      </c>
      <c r="I262" s="2" t="s">
        <v>17</v>
      </c>
      <c r="J262" s="24" t="s">
        <v>1054</v>
      </c>
      <c r="K262" s="3">
        <v>45976</v>
      </c>
      <c r="L262" s="2">
        <v>3</v>
      </c>
      <c r="M262" s="2">
        <v>5</v>
      </c>
      <c r="N262" s="2">
        <v>7</v>
      </c>
      <c r="O262" s="36">
        <v>2</v>
      </c>
      <c r="P262" s="24" t="str" cm="1">
        <f t="array" ref="P262">_xlfn.IFS(O262&lt;=6,"Detractors",AND(O262&gt;=7,O262&lt;=8),"Passives",AND(O262&gt;8,O262&lt;=10),"Promoters",O262="Not Available","NA")</f>
        <v>Detractors</v>
      </c>
    </row>
    <row r="263" spans="1:16" ht="14.25" customHeight="1" x14ac:dyDescent="0.3">
      <c r="A263" s="2" t="s">
        <v>289</v>
      </c>
      <c r="B263" s="2" t="s">
        <v>21</v>
      </c>
      <c r="C263" s="2" t="s">
        <v>16</v>
      </c>
      <c r="D263" s="3">
        <v>45952</v>
      </c>
      <c r="E263" s="3">
        <v>45954</v>
      </c>
      <c r="F263" s="3">
        <v>45957</v>
      </c>
      <c r="G263" s="3">
        <v>45961</v>
      </c>
      <c r="H263" s="23" t="str">
        <f t="shared" si="4"/>
        <v>Delivered</v>
      </c>
      <c r="I263" s="2" t="s">
        <v>17</v>
      </c>
      <c r="J263" s="24" t="s">
        <v>1054</v>
      </c>
      <c r="K263" s="3">
        <v>45991</v>
      </c>
      <c r="L263" s="2">
        <v>2</v>
      </c>
      <c r="M263" s="2">
        <v>3</v>
      </c>
      <c r="N263" s="2">
        <v>4</v>
      </c>
      <c r="O263" s="36">
        <v>9</v>
      </c>
      <c r="P263" s="24" t="str" cm="1">
        <f t="array" ref="P263">_xlfn.IFS(O263&lt;=6,"Detractors",AND(O263&gt;=7,O263&lt;=8),"Passives",AND(O263&gt;8,O263&lt;=10),"Promoters",O263="Not Available","NA")</f>
        <v>Promoters</v>
      </c>
    </row>
    <row r="264" spans="1:16" ht="14.25" customHeight="1" x14ac:dyDescent="0.3">
      <c r="A264" s="2" t="s">
        <v>290</v>
      </c>
      <c r="B264" s="2" t="s">
        <v>21</v>
      </c>
      <c r="C264" s="2" t="s">
        <v>22</v>
      </c>
      <c r="D264" s="3">
        <v>45956</v>
      </c>
      <c r="H264" s="23" t="str">
        <f t="shared" si="4"/>
        <v>Not Delivered</v>
      </c>
      <c r="I264" s="2" t="s">
        <v>23</v>
      </c>
      <c r="J264" s="2" t="s">
        <v>24</v>
      </c>
      <c r="L264">
        <v>0</v>
      </c>
      <c r="M264">
        <v>0</v>
      </c>
      <c r="N264">
        <v>0</v>
      </c>
      <c r="O264" t="s">
        <v>1080</v>
      </c>
      <c r="P264" s="24" t="str" cm="1">
        <f t="array" ref="P264">_xlfn.IFS(O264&lt;=6,"Detractors",AND(O264&gt;=7,O264&lt;=8),"Passives",AND(O264&gt;8,O264&lt;=10),"Promoters",O264="Not Available","NA")</f>
        <v>NA</v>
      </c>
    </row>
    <row r="265" spans="1:16" ht="14.25" customHeight="1" x14ac:dyDescent="0.3">
      <c r="A265" s="2" t="s">
        <v>291</v>
      </c>
      <c r="B265" s="2" t="s">
        <v>21</v>
      </c>
      <c r="C265" s="2" t="s">
        <v>16</v>
      </c>
      <c r="D265" s="3">
        <v>45960</v>
      </c>
      <c r="E265" s="3">
        <v>45964</v>
      </c>
      <c r="F265" s="3">
        <v>45965</v>
      </c>
      <c r="G265" s="3">
        <v>45972</v>
      </c>
      <c r="H265" s="23" t="str">
        <f t="shared" si="4"/>
        <v>Delivered</v>
      </c>
      <c r="I265" s="2" t="s">
        <v>17</v>
      </c>
      <c r="J265" s="24" t="s">
        <v>1054</v>
      </c>
      <c r="K265" s="3">
        <v>45999</v>
      </c>
      <c r="L265" s="2">
        <v>4</v>
      </c>
      <c r="M265" s="2">
        <v>1</v>
      </c>
      <c r="N265" s="2">
        <v>7</v>
      </c>
      <c r="O265" s="36">
        <v>5</v>
      </c>
      <c r="P265" s="24" t="str" cm="1">
        <f t="array" ref="P265">_xlfn.IFS(O265&lt;=6,"Detractors",AND(O265&gt;=7,O265&lt;=8),"Passives",AND(O265&gt;8,O265&lt;=10),"Promoters",O265="Not Available","NA")</f>
        <v>Detractors</v>
      </c>
    </row>
    <row r="266" spans="1:16" ht="14.25" customHeight="1" x14ac:dyDescent="0.3">
      <c r="A266" s="2" t="s">
        <v>292</v>
      </c>
      <c r="B266" s="2" t="s">
        <v>32</v>
      </c>
      <c r="C266" s="2" t="s">
        <v>16</v>
      </c>
      <c r="D266" s="3">
        <v>45937</v>
      </c>
      <c r="E266" s="3">
        <v>45938</v>
      </c>
      <c r="F266" s="3">
        <v>45941</v>
      </c>
      <c r="G266" s="3">
        <v>45946</v>
      </c>
      <c r="H266" s="23" t="str">
        <f t="shared" si="4"/>
        <v>Delivered</v>
      </c>
      <c r="I266" s="2" t="s">
        <v>17</v>
      </c>
      <c r="J266" s="24" t="s">
        <v>1054</v>
      </c>
      <c r="K266" s="3">
        <v>45968</v>
      </c>
      <c r="L266" s="2">
        <v>1</v>
      </c>
      <c r="M266" s="2">
        <v>3</v>
      </c>
      <c r="N266" s="2">
        <v>5</v>
      </c>
      <c r="O266" s="36">
        <v>7</v>
      </c>
      <c r="P266" s="24" t="str" cm="1">
        <f t="array" ref="P266">_xlfn.IFS(O266&lt;=6,"Detractors",AND(O266&gt;=7,O266&lt;=8),"Passives",AND(O266&gt;8,O266&lt;=10),"Promoters",O266="Not Available","NA")</f>
        <v>Passives</v>
      </c>
    </row>
    <row r="267" spans="1:16" ht="14.25" customHeight="1" x14ac:dyDescent="0.3">
      <c r="A267" s="2" t="s">
        <v>293</v>
      </c>
      <c r="B267" s="2" t="s">
        <v>15</v>
      </c>
      <c r="C267" s="2" t="s">
        <v>16</v>
      </c>
      <c r="D267" s="3">
        <v>45944</v>
      </c>
      <c r="E267" s="3">
        <v>45948</v>
      </c>
      <c r="F267" s="3">
        <v>45951</v>
      </c>
      <c r="G267" s="3">
        <v>45956</v>
      </c>
      <c r="H267" s="23" t="str">
        <f t="shared" si="4"/>
        <v>Delivered</v>
      </c>
      <c r="I267" s="2" t="s">
        <v>17</v>
      </c>
      <c r="J267" s="24" t="s">
        <v>1054</v>
      </c>
      <c r="K267" s="3">
        <v>45971</v>
      </c>
      <c r="L267" s="2">
        <v>4</v>
      </c>
      <c r="M267" s="2">
        <v>3</v>
      </c>
      <c r="N267" s="2">
        <v>5</v>
      </c>
      <c r="O267" s="36">
        <v>5</v>
      </c>
      <c r="P267" s="24" t="str" cm="1">
        <f t="array" ref="P267">_xlfn.IFS(O267&lt;=6,"Detractors",AND(O267&gt;=7,O267&lt;=8),"Passives",AND(O267&gt;8,O267&lt;=10),"Promoters",O267="Not Available","NA")</f>
        <v>Detractors</v>
      </c>
    </row>
    <row r="268" spans="1:16" ht="14.25" customHeight="1" x14ac:dyDescent="0.3">
      <c r="A268" s="2" t="s">
        <v>294</v>
      </c>
      <c r="B268" s="2" t="s">
        <v>21</v>
      </c>
      <c r="C268" s="2" t="s">
        <v>22</v>
      </c>
      <c r="D268" s="3">
        <v>45934</v>
      </c>
      <c r="H268" s="23" t="str">
        <f t="shared" si="4"/>
        <v>Not Delivered</v>
      </c>
      <c r="I268" s="2" t="s">
        <v>23</v>
      </c>
      <c r="J268" s="2" t="s">
        <v>33</v>
      </c>
      <c r="L268">
        <v>0</v>
      </c>
      <c r="M268">
        <v>0</v>
      </c>
      <c r="N268">
        <v>0</v>
      </c>
      <c r="O268" t="s">
        <v>1080</v>
      </c>
      <c r="P268" s="24" t="str" cm="1">
        <f t="array" ref="P268">_xlfn.IFS(O268&lt;=6,"Detractors",AND(O268&gt;=7,O268&lt;=8),"Passives",AND(O268&gt;8,O268&lt;=10),"Promoters",O268="Not Available","NA")</f>
        <v>NA</v>
      </c>
    </row>
    <row r="269" spans="1:16" ht="14.25" customHeight="1" x14ac:dyDescent="0.3">
      <c r="A269" s="2" t="s">
        <v>295</v>
      </c>
      <c r="B269" s="2" t="s">
        <v>15</v>
      </c>
      <c r="C269" s="2" t="s">
        <v>22</v>
      </c>
      <c r="D269" s="3">
        <v>45948</v>
      </c>
      <c r="H269" s="23" t="str">
        <f t="shared" si="4"/>
        <v>Not Delivered</v>
      </c>
      <c r="I269" s="2" t="s">
        <v>23</v>
      </c>
      <c r="J269" s="2" t="s">
        <v>26</v>
      </c>
      <c r="L269">
        <v>0</v>
      </c>
      <c r="M269">
        <v>0</v>
      </c>
      <c r="N269">
        <v>0</v>
      </c>
      <c r="O269" t="s">
        <v>1080</v>
      </c>
      <c r="P269" s="24" t="str" cm="1">
        <f t="array" ref="P269">_xlfn.IFS(O269&lt;=6,"Detractors",AND(O269&gt;=7,O269&lt;=8),"Passives",AND(O269&gt;8,O269&lt;=10),"Promoters",O269="Not Available","NA")</f>
        <v>NA</v>
      </c>
    </row>
    <row r="270" spans="1:16" ht="14.25" customHeight="1" x14ac:dyDescent="0.3">
      <c r="A270" s="2" t="s">
        <v>296</v>
      </c>
      <c r="B270" s="2" t="s">
        <v>32</v>
      </c>
      <c r="C270" s="2" t="s">
        <v>16</v>
      </c>
      <c r="D270" s="3">
        <v>45938</v>
      </c>
      <c r="E270" s="3">
        <v>45942</v>
      </c>
      <c r="F270" s="3">
        <v>45947</v>
      </c>
      <c r="G270" s="3">
        <v>45952</v>
      </c>
      <c r="H270" s="23" t="str">
        <f t="shared" si="4"/>
        <v>Delivered</v>
      </c>
      <c r="I270" s="2" t="s">
        <v>17</v>
      </c>
      <c r="J270" s="24" t="s">
        <v>1054</v>
      </c>
      <c r="K270" s="3">
        <v>45973</v>
      </c>
      <c r="L270" s="2">
        <v>4</v>
      </c>
      <c r="M270" s="2">
        <v>5</v>
      </c>
      <c r="N270" s="2">
        <v>5</v>
      </c>
      <c r="O270" s="36">
        <v>6</v>
      </c>
      <c r="P270" s="24" t="str" cm="1">
        <f t="array" ref="P270">_xlfn.IFS(O270&lt;=6,"Detractors",AND(O270&gt;=7,O270&lt;=8),"Passives",AND(O270&gt;8,O270&lt;=10),"Promoters",O270="Not Available","NA")</f>
        <v>Detractors</v>
      </c>
    </row>
    <row r="271" spans="1:16" ht="14.25" customHeight="1" x14ac:dyDescent="0.3">
      <c r="A271" s="2" t="s">
        <v>297</v>
      </c>
      <c r="B271" s="2" t="s">
        <v>19</v>
      </c>
      <c r="C271" s="2" t="s">
        <v>16</v>
      </c>
      <c r="D271" s="3">
        <v>45951</v>
      </c>
      <c r="E271" s="3">
        <v>45954</v>
      </c>
      <c r="F271" s="3">
        <v>45956</v>
      </c>
      <c r="G271" s="3">
        <v>45958</v>
      </c>
      <c r="H271" s="23" t="str">
        <f t="shared" si="4"/>
        <v>Delivered</v>
      </c>
      <c r="I271" s="2" t="s">
        <v>17</v>
      </c>
      <c r="J271" s="24" t="s">
        <v>1054</v>
      </c>
      <c r="K271" s="3">
        <v>45980</v>
      </c>
      <c r="L271" s="2">
        <v>3</v>
      </c>
      <c r="M271" s="2">
        <v>2</v>
      </c>
      <c r="N271" s="2">
        <v>2</v>
      </c>
      <c r="O271" s="36">
        <v>1</v>
      </c>
      <c r="P271" s="24" t="str" cm="1">
        <f t="array" ref="P271">_xlfn.IFS(O271&lt;=6,"Detractors",AND(O271&gt;=7,O271&lt;=8),"Passives",AND(O271&gt;8,O271&lt;=10),"Promoters",O271="Not Available","NA")</f>
        <v>Detractors</v>
      </c>
    </row>
    <row r="272" spans="1:16" ht="14.25" customHeight="1" x14ac:dyDescent="0.3">
      <c r="A272" s="42" t="s">
        <v>298</v>
      </c>
      <c r="B272" s="2" t="s">
        <v>21</v>
      </c>
      <c r="C272" s="2" t="s">
        <v>30</v>
      </c>
      <c r="D272" s="3">
        <v>45935</v>
      </c>
      <c r="E272" s="3">
        <v>45938</v>
      </c>
      <c r="F272" s="3">
        <v>45940</v>
      </c>
      <c r="G272" s="3">
        <v>45947</v>
      </c>
      <c r="H272" s="23" t="str">
        <f t="shared" si="4"/>
        <v>Delivered</v>
      </c>
      <c r="I272" s="2" t="s">
        <v>17</v>
      </c>
      <c r="J272" s="24" t="s">
        <v>1054</v>
      </c>
      <c r="K272" s="3">
        <v>45968</v>
      </c>
      <c r="L272" s="2">
        <v>3</v>
      </c>
      <c r="M272" s="2">
        <v>2</v>
      </c>
      <c r="N272" s="2">
        <v>7</v>
      </c>
      <c r="O272" s="36">
        <v>5</v>
      </c>
      <c r="P272" s="24" t="str" cm="1">
        <f t="array" ref="P272">_xlfn.IFS(O272&lt;=6,"Detractors",AND(O272&gt;=7,O272&lt;=8),"Passives",AND(O272&gt;8,O272&lt;=10),"Promoters",O272="Not Available","NA")</f>
        <v>Detractors</v>
      </c>
    </row>
    <row r="273" spans="1:16" ht="14.25" customHeight="1" x14ac:dyDescent="0.3">
      <c r="A273" s="42" t="s">
        <v>299</v>
      </c>
      <c r="B273" s="2" t="s">
        <v>15</v>
      </c>
      <c r="C273" s="2" t="s">
        <v>30</v>
      </c>
      <c r="D273" s="3">
        <v>45960</v>
      </c>
      <c r="E273" s="3">
        <v>45965</v>
      </c>
      <c r="F273" s="3">
        <v>45967</v>
      </c>
      <c r="G273" s="3">
        <v>45969</v>
      </c>
      <c r="H273" s="23" t="str">
        <f t="shared" si="4"/>
        <v>Delivered</v>
      </c>
      <c r="I273" s="2" t="s">
        <v>17</v>
      </c>
      <c r="J273" s="24" t="s">
        <v>1054</v>
      </c>
      <c r="K273" s="3">
        <v>45984</v>
      </c>
      <c r="L273" s="2">
        <v>5</v>
      </c>
      <c r="M273" s="2">
        <v>2</v>
      </c>
      <c r="N273" s="2">
        <v>2</v>
      </c>
      <c r="O273" s="36">
        <v>6</v>
      </c>
      <c r="P273" s="24" t="str" cm="1">
        <f t="array" ref="P273">_xlfn.IFS(O273&lt;=6,"Detractors",AND(O273&gt;=7,O273&lt;=8),"Passives",AND(O273&gt;8,O273&lt;=10),"Promoters",O273="Not Available","NA")</f>
        <v>Detractors</v>
      </c>
    </row>
    <row r="274" spans="1:16" ht="14.25" customHeight="1" x14ac:dyDescent="0.3">
      <c r="A274" s="2" t="s">
        <v>300</v>
      </c>
      <c r="B274" s="2" t="s">
        <v>15</v>
      </c>
      <c r="C274" s="2" t="s">
        <v>16</v>
      </c>
      <c r="D274" s="3">
        <v>45939</v>
      </c>
      <c r="E274" s="3">
        <v>45940</v>
      </c>
      <c r="F274" s="3">
        <v>45944</v>
      </c>
      <c r="G274" s="3">
        <v>45949</v>
      </c>
      <c r="H274" s="23" t="str">
        <f t="shared" si="4"/>
        <v>Delivered</v>
      </c>
      <c r="I274" s="2" t="s">
        <v>17</v>
      </c>
      <c r="J274" s="24" t="s">
        <v>1054</v>
      </c>
      <c r="K274" s="3">
        <v>45973</v>
      </c>
      <c r="L274" s="2">
        <v>1</v>
      </c>
      <c r="M274" s="2">
        <v>4</v>
      </c>
      <c r="N274" s="2">
        <v>5</v>
      </c>
      <c r="O274" s="36">
        <v>9</v>
      </c>
      <c r="P274" s="24" t="str" cm="1">
        <f t="array" ref="P274">_xlfn.IFS(O274&lt;=6,"Detractors",AND(O274&gt;=7,O274&lt;=8),"Passives",AND(O274&gt;8,O274&lt;=10),"Promoters",O274="Not Available","NA")</f>
        <v>Promoters</v>
      </c>
    </row>
    <row r="275" spans="1:16" ht="14.25" customHeight="1" x14ac:dyDescent="0.3">
      <c r="A275" s="42" t="s">
        <v>301</v>
      </c>
      <c r="B275" s="2" t="s">
        <v>21</v>
      </c>
      <c r="C275" s="2" t="s">
        <v>30</v>
      </c>
      <c r="D275" s="3">
        <v>45957</v>
      </c>
      <c r="E275" s="3">
        <v>45960</v>
      </c>
      <c r="F275" s="3">
        <v>45962</v>
      </c>
      <c r="G275" s="3">
        <v>45968</v>
      </c>
      <c r="H275" s="23" t="str">
        <f t="shared" si="4"/>
        <v>Delivered</v>
      </c>
      <c r="I275" s="2" t="s">
        <v>17</v>
      </c>
      <c r="J275" s="24" t="s">
        <v>1054</v>
      </c>
      <c r="K275" s="3">
        <v>45979</v>
      </c>
      <c r="L275" s="2">
        <v>3</v>
      </c>
      <c r="M275" s="2">
        <v>2</v>
      </c>
      <c r="N275" s="2">
        <v>6</v>
      </c>
      <c r="O275" s="36">
        <v>2</v>
      </c>
      <c r="P275" s="24" t="str" cm="1">
        <f t="array" ref="P275">_xlfn.IFS(O275&lt;=6,"Detractors",AND(O275&gt;=7,O275&lt;=8),"Passives",AND(O275&gt;8,O275&lt;=10),"Promoters",O275="Not Available","NA")</f>
        <v>Detractors</v>
      </c>
    </row>
    <row r="276" spans="1:16" ht="14.25" customHeight="1" x14ac:dyDescent="0.3">
      <c r="A276" s="2" t="s">
        <v>302</v>
      </c>
      <c r="B276" s="2" t="s">
        <v>19</v>
      </c>
      <c r="C276" s="2" t="s">
        <v>16</v>
      </c>
      <c r="D276" s="3">
        <v>45935</v>
      </c>
      <c r="E276" s="3">
        <v>45940</v>
      </c>
      <c r="F276" s="3">
        <v>45944</v>
      </c>
      <c r="G276" s="3">
        <v>45951</v>
      </c>
      <c r="H276" s="23" t="str">
        <f t="shared" si="4"/>
        <v>Delivered</v>
      </c>
      <c r="I276" s="2" t="s">
        <v>17</v>
      </c>
      <c r="J276" s="24" t="s">
        <v>1054</v>
      </c>
      <c r="K276" s="3">
        <v>45969</v>
      </c>
      <c r="L276" s="2">
        <v>5</v>
      </c>
      <c r="M276" s="2">
        <v>4</v>
      </c>
      <c r="N276" s="2">
        <v>7</v>
      </c>
      <c r="O276" s="36">
        <v>3</v>
      </c>
      <c r="P276" s="24" t="str" cm="1">
        <f t="array" ref="P276">_xlfn.IFS(O276&lt;=6,"Detractors",AND(O276&gt;=7,O276&lt;=8),"Passives",AND(O276&gt;8,O276&lt;=10),"Promoters",O276="Not Available","NA")</f>
        <v>Detractors</v>
      </c>
    </row>
    <row r="277" spans="1:16" ht="14.25" customHeight="1" x14ac:dyDescent="0.3">
      <c r="A277" s="42" t="s">
        <v>303</v>
      </c>
      <c r="B277" s="2" t="s">
        <v>19</v>
      </c>
      <c r="C277" s="2" t="s">
        <v>30</v>
      </c>
      <c r="D277" s="3">
        <v>45933</v>
      </c>
      <c r="E277" s="3">
        <v>45934</v>
      </c>
      <c r="F277" s="3">
        <v>45939</v>
      </c>
      <c r="G277" s="3">
        <v>45943</v>
      </c>
      <c r="H277" s="23" t="str">
        <f t="shared" si="4"/>
        <v>Delivered</v>
      </c>
      <c r="I277" s="2" t="s">
        <v>17</v>
      </c>
      <c r="J277" s="24" t="s">
        <v>1054</v>
      </c>
      <c r="K277" s="3">
        <v>45967</v>
      </c>
      <c r="L277" s="2">
        <v>1</v>
      </c>
      <c r="M277" s="2">
        <v>5</v>
      </c>
      <c r="N277" s="2">
        <v>4</v>
      </c>
      <c r="O277" s="36">
        <v>10</v>
      </c>
      <c r="P277" s="24" t="str" cm="1">
        <f t="array" ref="P277">_xlfn.IFS(O277&lt;=6,"Detractors",AND(O277&gt;=7,O277&lt;=8),"Passives",AND(O277&gt;8,O277&lt;=10),"Promoters",O277="Not Available","NA")</f>
        <v>Promoters</v>
      </c>
    </row>
    <row r="278" spans="1:16" ht="14.25" customHeight="1" x14ac:dyDescent="0.3">
      <c r="A278" s="2" t="s">
        <v>304</v>
      </c>
      <c r="B278" s="2" t="s">
        <v>19</v>
      </c>
      <c r="C278" s="2" t="s">
        <v>16</v>
      </c>
      <c r="D278" s="3">
        <v>45932</v>
      </c>
      <c r="E278" s="3">
        <v>45935</v>
      </c>
      <c r="F278" s="3">
        <v>45938</v>
      </c>
      <c r="G278" s="3">
        <v>45945</v>
      </c>
      <c r="H278" s="23" t="str">
        <f t="shared" si="4"/>
        <v>Delivered</v>
      </c>
      <c r="I278" s="2" t="s">
        <v>17</v>
      </c>
      <c r="J278" s="24" t="s">
        <v>1054</v>
      </c>
      <c r="K278" s="3">
        <v>45969</v>
      </c>
      <c r="L278" s="2">
        <v>3</v>
      </c>
      <c r="M278" s="2">
        <v>3</v>
      </c>
      <c r="N278" s="2">
        <v>7</v>
      </c>
      <c r="O278" s="36">
        <v>8</v>
      </c>
      <c r="P278" s="24" t="str" cm="1">
        <f t="array" ref="P278">_xlfn.IFS(O278&lt;=6,"Detractors",AND(O278&gt;=7,O278&lt;=8),"Passives",AND(O278&gt;8,O278&lt;=10),"Promoters",O278="Not Available","NA")</f>
        <v>Passives</v>
      </c>
    </row>
    <row r="279" spans="1:16" ht="14.25" customHeight="1" x14ac:dyDescent="0.3">
      <c r="A279" s="2" t="s">
        <v>305</v>
      </c>
      <c r="B279" s="2" t="s">
        <v>32</v>
      </c>
      <c r="C279" s="2" t="s">
        <v>16</v>
      </c>
      <c r="D279" s="3">
        <v>45936</v>
      </c>
      <c r="E279" s="3">
        <v>45940</v>
      </c>
      <c r="F279" s="3">
        <v>45944</v>
      </c>
      <c r="G279" s="3">
        <v>45948</v>
      </c>
      <c r="H279" s="23" t="str">
        <f t="shared" si="4"/>
        <v>Delivered</v>
      </c>
      <c r="I279" s="2" t="s">
        <v>17</v>
      </c>
      <c r="J279" s="24" t="s">
        <v>1054</v>
      </c>
      <c r="K279" s="3">
        <v>45966</v>
      </c>
      <c r="L279" s="2">
        <v>4</v>
      </c>
      <c r="M279" s="2">
        <v>4</v>
      </c>
      <c r="N279" s="2">
        <v>4</v>
      </c>
      <c r="O279" s="36">
        <v>1</v>
      </c>
      <c r="P279" s="24" t="str" cm="1">
        <f t="array" ref="P279">_xlfn.IFS(O279&lt;=6,"Detractors",AND(O279&gt;=7,O279&lt;=8),"Passives",AND(O279&gt;8,O279&lt;=10),"Promoters",O279="Not Available","NA")</f>
        <v>Detractors</v>
      </c>
    </row>
    <row r="280" spans="1:16" ht="14.25" customHeight="1" x14ac:dyDescent="0.3">
      <c r="A280" s="2" t="s">
        <v>306</v>
      </c>
      <c r="B280" s="2" t="s">
        <v>15</v>
      </c>
      <c r="C280" s="2" t="s">
        <v>22</v>
      </c>
      <c r="D280" s="3">
        <v>45956</v>
      </c>
      <c r="H280" s="23" t="str">
        <f t="shared" si="4"/>
        <v>Not Delivered</v>
      </c>
      <c r="I280" s="2" t="s">
        <v>23</v>
      </c>
      <c r="J280" s="2" t="s">
        <v>24</v>
      </c>
      <c r="L280">
        <v>0</v>
      </c>
      <c r="M280">
        <v>0</v>
      </c>
      <c r="N280">
        <v>0</v>
      </c>
      <c r="O280" t="s">
        <v>1080</v>
      </c>
      <c r="P280" s="24" t="str" cm="1">
        <f t="array" ref="P280">_xlfn.IFS(O280&lt;=6,"Detractors",AND(O280&gt;=7,O280&lt;=8),"Passives",AND(O280&gt;8,O280&lt;=10),"Promoters",O280="Not Available","NA")</f>
        <v>NA</v>
      </c>
    </row>
    <row r="281" spans="1:16" ht="14.25" customHeight="1" x14ac:dyDescent="0.3">
      <c r="A281" s="2" t="s">
        <v>307</v>
      </c>
      <c r="B281" s="2" t="s">
        <v>15</v>
      </c>
      <c r="C281" s="2" t="s">
        <v>30</v>
      </c>
      <c r="D281" s="3">
        <v>45940</v>
      </c>
      <c r="E281" s="3">
        <v>45944</v>
      </c>
      <c r="F281" s="3">
        <v>45949</v>
      </c>
      <c r="G281" s="3">
        <v>45954</v>
      </c>
      <c r="H281" s="23" t="str">
        <f t="shared" si="4"/>
        <v>Delivered</v>
      </c>
      <c r="I281" s="2" t="s">
        <v>23</v>
      </c>
      <c r="J281" s="2" t="s">
        <v>24</v>
      </c>
      <c r="L281" s="2">
        <v>4</v>
      </c>
      <c r="M281" s="2">
        <v>5</v>
      </c>
      <c r="N281" s="2">
        <v>5</v>
      </c>
      <c r="O281" t="s">
        <v>1080</v>
      </c>
      <c r="P281" s="24" t="str" cm="1">
        <f t="array" ref="P281">_xlfn.IFS(O281&lt;=6,"Detractors",AND(O281&gt;=7,O281&lt;=8),"Passives",AND(O281&gt;8,O281&lt;=10),"Promoters",O281="Not Available","NA")</f>
        <v>NA</v>
      </c>
    </row>
    <row r="282" spans="1:16" ht="14.25" customHeight="1" x14ac:dyDescent="0.3">
      <c r="A282" s="2" t="s">
        <v>308</v>
      </c>
      <c r="B282" s="2" t="s">
        <v>15</v>
      </c>
      <c r="C282" s="2" t="s">
        <v>16</v>
      </c>
      <c r="D282" s="3">
        <v>45950</v>
      </c>
      <c r="E282" s="3">
        <v>45951</v>
      </c>
      <c r="F282" s="3">
        <v>45955</v>
      </c>
      <c r="G282" s="3">
        <v>45960</v>
      </c>
      <c r="H282" s="23" t="str">
        <f t="shared" si="4"/>
        <v>Delivered</v>
      </c>
      <c r="I282" s="2" t="s">
        <v>17</v>
      </c>
      <c r="J282" s="24" t="s">
        <v>1054</v>
      </c>
      <c r="K282" s="3">
        <v>45977</v>
      </c>
      <c r="L282" s="2">
        <v>1</v>
      </c>
      <c r="M282" s="2">
        <v>4</v>
      </c>
      <c r="N282" s="2">
        <v>5</v>
      </c>
      <c r="O282" s="36">
        <v>8</v>
      </c>
      <c r="P282" s="24" t="str" cm="1">
        <f t="array" ref="P282">_xlfn.IFS(O282&lt;=6,"Detractors",AND(O282&gt;=7,O282&lt;=8),"Passives",AND(O282&gt;8,O282&lt;=10),"Promoters",O282="Not Available","NA")</f>
        <v>Passives</v>
      </c>
    </row>
    <row r="283" spans="1:16" ht="14.25" customHeight="1" x14ac:dyDescent="0.3">
      <c r="A283" s="2" t="s">
        <v>309</v>
      </c>
      <c r="B283" s="2" t="s">
        <v>32</v>
      </c>
      <c r="C283" s="2" t="s">
        <v>22</v>
      </c>
      <c r="D283" s="3">
        <v>45954</v>
      </c>
      <c r="H283" s="23" t="str">
        <f t="shared" si="4"/>
        <v>Not Delivered</v>
      </c>
      <c r="I283" s="2" t="s">
        <v>23</v>
      </c>
      <c r="J283" s="2" t="s">
        <v>33</v>
      </c>
      <c r="L283">
        <v>0</v>
      </c>
      <c r="M283">
        <v>0</v>
      </c>
      <c r="N283">
        <v>0</v>
      </c>
      <c r="O283" t="s">
        <v>1080</v>
      </c>
      <c r="P283" s="24" t="str" cm="1">
        <f t="array" ref="P283">_xlfn.IFS(O283&lt;=6,"Detractors",AND(O283&gt;=7,O283&lt;=8),"Passives",AND(O283&gt;8,O283&lt;=10),"Promoters",O283="Not Available","NA")</f>
        <v>NA</v>
      </c>
    </row>
    <row r="284" spans="1:16" ht="14.25" customHeight="1" x14ac:dyDescent="0.3">
      <c r="A284" s="2" t="s">
        <v>310</v>
      </c>
      <c r="B284" s="2" t="s">
        <v>15</v>
      </c>
      <c r="C284" s="2" t="s">
        <v>30</v>
      </c>
      <c r="D284" s="3">
        <v>45957</v>
      </c>
      <c r="E284" s="3">
        <v>45958</v>
      </c>
      <c r="F284" s="3">
        <v>45963</v>
      </c>
      <c r="G284" s="3">
        <v>45967</v>
      </c>
      <c r="H284" s="23" t="str">
        <f t="shared" si="4"/>
        <v>Delivered</v>
      </c>
      <c r="I284" s="2" t="s">
        <v>23</v>
      </c>
      <c r="J284" s="2" t="s">
        <v>26</v>
      </c>
      <c r="L284" s="2">
        <v>1</v>
      </c>
      <c r="M284" s="2">
        <v>5</v>
      </c>
      <c r="N284" s="2">
        <v>4</v>
      </c>
      <c r="O284" t="s">
        <v>1080</v>
      </c>
      <c r="P284" s="24" t="str" cm="1">
        <f t="array" ref="P284">_xlfn.IFS(O284&lt;=6,"Detractors",AND(O284&gt;=7,O284&lt;=8),"Passives",AND(O284&gt;8,O284&lt;=10),"Promoters",O284="Not Available","NA")</f>
        <v>NA</v>
      </c>
    </row>
    <row r="285" spans="1:16" ht="14.25" customHeight="1" x14ac:dyDescent="0.3">
      <c r="A285" s="2" t="s">
        <v>311</v>
      </c>
      <c r="B285" s="2" t="s">
        <v>32</v>
      </c>
      <c r="C285" s="2" t="s">
        <v>22</v>
      </c>
      <c r="D285" s="3">
        <v>45949</v>
      </c>
      <c r="H285" s="23" t="str">
        <f t="shared" si="4"/>
        <v>Not Delivered</v>
      </c>
      <c r="I285" s="2" t="s">
        <v>23</v>
      </c>
      <c r="J285" s="2" t="s">
        <v>33</v>
      </c>
      <c r="L285">
        <v>0</v>
      </c>
      <c r="M285">
        <v>0</v>
      </c>
      <c r="N285">
        <v>0</v>
      </c>
      <c r="O285" t="s">
        <v>1080</v>
      </c>
      <c r="P285" s="24" t="str" cm="1">
        <f t="array" ref="P285">_xlfn.IFS(O285&lt;=6,"Detractors",AND(O285&gt;=7,O285&lt;=8),"Passives",AND(O285&gt;8,O285&lt;=10),"Promoters",O285="Not Available","NA")</f>
        <v>NA</v>
      </c>
    </row>
    <row r="286" spans="1:16" ht="14.25" customHeight="1" x14ac:dyDescent="0.3">
      <c r="A286" s="2" t="s">
        <v>312</v>
      </c>
      <c r="B286" s="2" t="s">
        <v>19</v>
      </c>
      <c r="C286" s="2" t="s">
        <v>16</v>
      </c>
      <c r="D286" s="3">
        <v>45960</v>
      </c>
      <c r="E286" s="3">
        <v>45963</v>
      </c>
      <c r="F286" s="3">
        <v>45965</v>
      </c>
      <c r="G286" s="3">
        <v>45971</v>
      </c>
      <c r="H286" s="23" t="str">
        <f t="shared" si="4"/>
        <v>Delivered</v>
      </c>
      <c r="I286" s="2" t="s">
        <v>17</v>
      </c>
      <c r="J286" s="24" t="s">
        <v>1054</v>
      </c>
      <c r="K286" s="3">
        <v>45989</v>
      </c>
      <c r="L286" s="2">
        <v>3</v>
      </c>
      <c r="M286" s="2">
        <v>2</v>
      </c>
      <c r="N286" s="2">
        <v>6</v>
      </c>
      <c r="O286" s="36">
        <v>4</v>
      </c>
      <c r="P286" s="24" t="str" cm="1">
        <f t="array" ref="P286">_xlfn.IFS(O286&lt;=6,"Detractors",AND(O286&gt;=7,O286&lt;=8),"Passives",AND(O286&gt;8,O286&lt;=10),"Promoters",O286="Not Available","NA")</f>
        <v>Detractors</v>
      </c>
    </row>
    <row r="287" spans="1:16" ht="14.25" customHeight="1" x14ac:dyDescent="0.3">
      <c r="A287" s="2" t="s">
        <v>313</v>
      </c>
      <c r="B287" s="2" t="s">
        <v>21</v>
      </c>
      <c r="C287" s="2" t="s">
        <v>16</v>
      </c>
      <c r="D287" s="3">
        <v>45940</v>
      </c>
      <c r="E287" s="3">
        <v>45943</v>
      </c>
      <c r="F287" s="3">
        <v>45945</v>
      </c>
      <c r="G287" s="3">
        <v>45947</v>
      </c>
      <c r="H287" s="23" t="str">
        <f t="shared" si="4"/>
        <v>Delivered</v>
      </c>
      <c r="I287" s="2" t="s">
        <v>17</v>
      </c>
      <c r="J287" s="24" t="s">
        <v>1054</v>
      </c>
      <c r="K287" s="3">
        <v>45975</v>
      </c>
      <c r="L287" s="2">
        <v>3</v>
      </c>
      <c r="M287" s="2">
        <v>2</v>
      </c>
      <c r="N287" s="2">
        <v>2</v>
      </c>
      <c r="O287" s="36">
        <v>9</v>
      </c>
      <c r="P287" s="24" t="str" cm="1">
        <f t="array" ref="P287">_xlfn.IFS(O287&lt;=6,"Detractors",AND(O287&gt;=7,O287&lt;=8),"Passives",AND(O287&gt;8,O287&lt;=10),"Promoters",O287="Not Available","NA")</f>
        <v>Promoters</v>
      </c>
    </row>
    <row r="288" spans="1:16" ht="14.25" customHeight="1" x14ac:dyDescent="0.3">
      <c r="A288" s="2" t="s">
        <v>314</v>
      </c>
      <c r="B288" s="2" t="s">
        <v>15</v>
      </c>
      <c r="C288" s="2" t="s">
        <v>22</v>
      </c>
      <c r="D288" s="3">
        <v>45945</v>
      </c>
      <c r="H288" s="23" t="str">
        <f t="shared" si="4"/>
        <v>Not Delivered</v>
      </c>
      <c r="I288" s="2" t="s">
        <v>23</v>
      </c>
      <c r="J288" s="2" t="s">
        <v>26</v>
      </c>
      <c r="L288">
        <v>0</v>
      </c>
      <c r="M288">
        <v>0</v>
      </c>
      <c r="N288">
        <v>0</v>
      </c>
      <c r="O288" s="36" t="s">
        <v>1080</v>
      </c>
      <c r="P288" s="24" t="str" cm="1">
        <f t="array" ref="P288">_xlfn.IFS(O288&lt;=6,"Detractors",AND(O288&gt;=7,O288&lt;=8),"Passives",AND(O288&gt;8,O288&lt;=10),"Promoters",O288="Not Available","NA")</f>
        <v>NA</v>
      </c>
    </row>
    <row r="289" spans="1:16" ht="14.25" customHeight="1" x14ac:dyDescent="0.3">
      <c r="A289" s="42" t="s">
        <v>315</v>
      </c>
      <c r="B289" s="2" t="s">
        <v>15</v>
      </c>
      <c r="C289" s="2" t="s">
        <v>30</v>
      </c>
      <c r="D289" s="3">
        <v>45934</v>
      </c>
      <c r="E289" s="3">
        <v>45935</v>
      </c>
      <c r="F289" s="3">
        <v>45940</v>
      </c>
      <c r="G289" s="3">
        <v>45947</v>
      </c>
      <c r="H289" s="23" t="str">
        <f t="shared" si="4"/>
        <v>Delivered</v>
      </c>
      <c r="I289" s="2" t="s">
        <v>17</v>
      </c>
      <c r="J289" s="24" t="s">
        <v>1054</v>
      </c>
      <c r="K289" s="3">
        <v>45958</v>
      </c>
      <c r="L289" s="2">
        <v>1</v>
      </c>
      <c r="M289" s="2">
        <v>5</v>
      </c>
      <c r="N289" s="2">
        <v>7</v>
      </c>
      <c r="O289" s="36">
        <v>2</v>
      </c>
      <c r="P289" s="24" t="str" cm="1">
        <f t="array" ref="P289">_xlfn.IFS(O289&lt;=6,"Detractors",AND(O289&gt;=7,O289&lt;=8),"Passives",AND(O289&gt;8,O289&lt;=10),"Promoters",O289="Not Available","NA")</f>
        <v>Detractors</v>
      </c>
    </row>
    <row r="290" spans="1:16" ht="14.25" customHeight="1" x14ac:dyDescent="0.3">
      <c r="A290" s="2" t="s">
        <v>316</v>
      </c>
      <c r="B290" s="2" t="s">
        <v>19</v>
      </c>
      <c r="C290" s="2" t="s">
        <v>16</v>
      </c>
      <c r="D290" s="3">
        <v>45945</v>
      </c>
      <c r="E290" s="3">
        <v>45946</v>
      </c>
      <c r="F290" s="3">
        <v>45947</v>
      </c>
      <c r="G290" s="3">
        <v>45949</v>
      </c>
      <c r="H290" s="23" t="str">
        <f t="shared" si="4"/>
        <v>Delivered</v>
      </c>
      <c r="I290" s="2" t="s">
        <v>23</v>
      </c>
      <c r="J290" s="2" t="s">
        <v>33</v>
      </c>
      <c r="L290" s="2">
        <v>1</v>
      </c>
      <c r="M290" s="2">
        <v>1</v>
      </c>
      <c r="N290" s="2">
        <v>2</v>
      </c>
      <c r="O290" t="s">
        <v>1080</v>
      </c>
      <c r="P290" s="24" t="str" cm="1">
        <f t="array" ref="P290">_xlfn.IFS(O290&lt;=6,"Detractors",AND(O290&gt;=7,O290&lt;=8),"Passives",AND(O290&gt;8,O290&lt;=10),"Promoters",O290="Not Available","NA")</f>
        <v>NA</v>
      </c>
    </row>
    <row r="291" spans="1:16" ht="14.25" customHeight="1" x14ac:dyDescent="0.3">
      <c r="A291" s="2" t="s">
        <v>317</v>
      </c>
      <c r="B291" s="2" t="s">
        <v>21</v>
      </c>
      <c r="C291" s="2" t="s">
        <v>22</v>
      </c>
      <c r="D291" s="3">
        <v>45953</v>
      </c>
      <c r="H291" s="23" t="str">
        <f t="shared" si="4"/>
        <v>Not Delivered</v>
      </c>
      <c r="I291" s="2" t="s">
        <v>23</v>
      </c>
      <c r="J291" s="2" t="s">
        <v>24</v>
      </c>
      <c r="L291">
        <v>0</v>
      </c>
      <c r="M291">
        <v>0</v>
      </c>
      <c r="N291">
        <v>0</v>
      </c>
      <c r="O291" t="s">
        <v>1080</v>
      </c>
      <c r="P291" s="24" t="str" cm="1">
        <f t="array" ref="P291">_xlfn.IFS(O291&lt;=6,"Detractors",AND(O291&gt;=7,O291&lt;=8),"Passives",AND(O291&gt;8,O291&lt;=10),"Promoters",O291="Not Available","NA")</f>
        <v>NA</v>
      </c>
    </row>
    <row r="292" spans="1:16" ht="14.25" customHeight="1" x14ac:dyDescent="0.3">
      <c r="A292" s="42" t="s">
        <v>318</v>
      </c>
      <c r="B292" s="2" t="s">
        <v>32</v>
      </c>
      <c r="C292" s="2" t="s">
        <v>30</v>
      </c>
      <c r="D292" s="3">
        <v>45940</v>
      </c>
      <c r="E292" s="3">
        <v>45945</v>
      </c>
      <c r="F292" s="3">
        <v>45950</v>
      </c>
      <c r="G292" s="3">
        <v>45957</v>
      </c>
      <c r="H292" s="23" t="str">
        <f t="shared" si="4"/>
        <v>Delivered</v>
      </c>
      <c r="I292" s="2" t="s">
        <v>17</v>
      </c>
      <c r="J292" s="24" t="s">
        <v>1054</v>
      </c>
      <c r="K292" s="3">
        <v>45971</v>
      </c>
      <c r="L292" s="2">
        <v>5</v>
      </c>
      <c r="M292" s="2">
        <v>5</v>
      </c>
      <c r="N292" s="2">
        <v>7</v>
      </c>
      <c r="O292" s="36">
        <v>4</v>
      </c>
      <c r="P292" s="24" t="str" cm="1">
        <f t="array" ref="P292">_xlfn.IFS(O292&lt;=6,"Detractors",AND(O292&gt;=7,O292&lt;=8),"Passives",AND(O292&gt;8,O292&lt;=10),"Promoters",O292="Not Available","NA")</f>
        <v>Detractors</v>
      </c>
    </row>
    <row r="293" spans="1:16" ht="14.25" customHeight="1" x14ac:dyDescent="0.3">
      <c r="A293" s="2" t="s">
        <v>319</v>
      </c>
      <c r="B293" s="2" t="s">
        <v>21</v>
      </c>
      <c r="C293" s="2" t="s">
        <v>16</v>
      </c>
      <c r="D293" s="3">
        <v>45953</v>
      </c>
      <c r="E293" s="3">
        <v>45958</v>
      </c>
      <c r="F293" s="3">
        <v>45962</v>
      </c>
      <c r="G293" s="3">
        <v>45967</v>
      </c>
      <c r="H293" s="23" t="str">
        <f t="shared" si="4"/>
        <v>Delivered</v>
      </c>
      <c r="I293" s="2" t="s">
        <v>17</v>
      </c>
      <c r="J293" s="24" t="s">
        <v>1054</v>
      </c>
      <c r="K293" s="3">
        <v>45980</v>
      </c>
      <c r="L293" s="2">
        <v>5</v>
      </c>
      <c r="M293" s="2">
        <v>4</v>
      </c>
      <c r="N293" s="2">
        <v>5</v>
      </c>
      <c r="O293" s="36">
        <v>1</v>
      </c>
      <c r="P293" s="24" t="str" cm="1">
        <f t="array" ref="P293">_xlfn.IFS(O293&lt;=6,"Detractors",AND(O293&gt;=7,O293&lt;=8),"Passives",AND(O293&gt;8,O293&lt;=10),"Promoters",O293="Not Available","NA")</f>
        <v>Detractors</v>
      </c>
    </row>
    <row r="294" spans="1:16" ht="14.25" customHeight="1" x14ac:dyDescent="0.3">
      <c r="A294" s="2" t="s">
        <v>320</v>
      </c>
      <c r="B294" s="2" t="s">
        <v>19</v>
      </c>
      <c r="C294" s="2" t="s">
        <v>22</v>
      </c>
      <c r="D294" s="3">
        <v>45943</v>
      </c>
      <c r="H294" s="23" t="str">
        <f t="shared" si="4"/>
        <v>Not Delivered</v>
      </c>
      <c r="I294" s="2" t="s">
        <v>23</v>
      </c>
      <c r="J294" s="2" t="s">
        <v>24</v>
      </c>
      <c r="L294">
        <v>0</v>
      </c>
      <c r="M294">
        <v>0</v>
      </c>
      <c r="N294">
        <v>0</v>
      </c>
      <c r="O294" t="s">
        <v>1080</v>
      </c>
      <c r="P294" s="24" t="str" cm="1">
        <f t="array" ref="P294">_xlfn.IFS(O294&lt;=6,"Detractors",AND(O294&gt;=7,O294&lt;=8),"Passives",AND(O294&gt;8,O294&lt;=10),"Promoters",O294="Not Available","NA")</f>
        <v>NA</v>
      </c>
    </row>
    <row r="295" spans="1:16" ht="14.25" customHeight="1" x14ac:dyDescent="0.3">
      <c r="A295" s="42" t="s">
        <v>321</v>
      </c>
      <c r="B295" s="2" t="s">
        <v>19</v>
      </c>
      <c r="C295" s="2" t="s">
        <v>30</v>
      </c>
      <c r="D295" s="3">
        <v>45961</v>
      </c>
      <c r="E295" s="3">
        <v>45966</v>
      </c>
      <c r="F295" s="3">
        <v>45971</v>
      </c>
      <c r="G295" s="3">
        <v>45978</v>
      </c>
      <c r="H295" s="23" t="str">
        <f t="shared" si="4"/>
        <v>Delivered</v>
      </c>
      <c r="I295" s="2" t="s">
        <v>17</v>
      </c>
      <c r="J295" s="24" t="s">
        <v>1054</v>
      </c>
      <c r="K295" s="3">
        <v>45990</v>
      </c>
      <c r="L295" s="2">
        <v>5</v>
      </c>
      <c r="M295" s="2">
        <v>5</v>
      </c>
      <c r="N295" s="2">
        <v>7</v>
      </c>
      <c r="O295" s="36">
        <v>6</v>
      </c>
      <c r="P295" s="24" t="str" cm="1">
        <f t="array" ref="P295">_xlfn.IFS(O295&lt;=6,"Detractors",AND(O295&gt;=7,O295&lt;=8),"Passives",AND(O295&gt;8,O295&lt;=10),"Promoters",O295="Not Available","NA")</f>
        <v>Detractors</v>
      </c>
    </row>
    <row r="296" spans="1:16" ht="14.25" customHeight="1" x14ac:dyDescent="0.3">
      <c r="A296" s="2" t="s">
        <v>322</v>
      </c>
      <c r="B296" s="2" t="s">
        <v>21</v>
      </c>
      <c r="C296" s="2" t="s">
        <v>22</v>
      </c>
      <c r="D296" s="3">
        <v>45939</v>
      </c>
      <c r="H296" s="23" t="str">
        <f t="shared" si="4"/>
        <v>Not Delivered</v>
      </c>
      <c r="I296" s="2" t="s">
        <v>23</v>
      </c>
      <c r="J296" s="2" t="s">
        <v>101</v>
      </c>
      <c r="L296">
        <v>0</v>
      </c>
      <c r="M296">
        <v>0</v>
      </c>
      <c r="N296">
        <v>0</v>
      </c>
      <c r="O296" t="s">
        <v>1080</v>
      </c>
      <c r="P296" s="24" t="str" cm="1">
        <f t="array" ref="P296">_xlfn.IFS(O296&lt;=6,"Detractors",AND(O296&gt;=7,O296&lt;=8),"Passives",AND(O296&gt;8,O296&lt;=10),"Promoters",O296="Not Available","NA")</f>
        <v>NA</v>
      </c>
    </row>
    <row r="297" spans="1:16" ht="14.25" customHeight="1" x14ac:dyDescent="0.3">
      <c r="A297" s="2" t="s">
        <v>323</v>
      </c>
      <c r="B297" s="2" t="s">
        <v>32</v>
      </c>
      <c r="C297" s="2" t="s">
        <v>16</v>
      </c>
      <c r="D297" s="3">
        <v>45947</v>
      </c>
      <c r="E297" s="3">
        <v>45951</v>
      </c>
      <c r="F297" s="3">
        <v>45954</v>
      </c>
      <c r="G297" s="3">
        <v>45961</v>
      </c>
      <c r="H297" s="23" t="str">
        <f t="shared" si="4"/>
        <v>Delivered</v>
      </c>
      <c r="I297" s="2" t="s">
        <v>23</v>
      </c>
      <c r="J297" s="2" t="s">
        <v>63</v>
      </c>
      <c r="L297" s="2">
        <v>4</v>
      </c>
      <c r="M297" s="2">
        <v>3</v>
      </c>
      <c r="N297" s="2">
        <v>7</v>
      </c>
      <c r="O297" t="s">
        <v>1080</v>
      </c>
      <c r="P297" s="24" t="str" cm="1">
        <f t="array" ref="P297">_xlfn.IFS(O297&lt;=6,"Detractors",AND(O297&gt;=7,O297&lt;=8),"Passives",AND(O297&gt;8,O297&lt;=10),"Promoters",O297="Not Available","NA")</f>
        <v>NA</v>
      </c>
    </row>
    <row r="298" spans="1:16" ht="14.25" customHeight="1" x14ac:dyDescent="0.3">
      <c r="A298" s="2" t="s">
        <v>324</v>
      </c>
      <c r="B298" s="2" t="s">
        <v>32</v>
      </c>
      <c r="C298" s="2" t="s">
        <v>16</v>
      </c>
      <c r="D298" s="3">
        <v>45948</v>
      </c>
      <c r="E298" s="3">
        <v>45952</v>
      </c>
      <c r="F298" s="3">
        <v>45953</v>
      </c>
      <c r="G298" s="3">
        <v>45960</v>
      </c>
      <c r="H298" s="23" t="str">
        <f t="shared" si="4"/>
        <v>Delivered</v>
      </c>
      <c r="I298" s="2" t="s">
        <v>17</v>
      </c>
      <c r="J298" s="24" t="s">
        <v>1054</v>
      </c>
      <c r="K298" s="3">
        <v>45981</v>
      </c>
      <c r="L298" s="2">
        <v>4</v>
      </c>
      <c r="M298" s="2">
        <v>1</v>
      </c>
      <c r="N298" s="2">
        <v>7</v>
      </c>
      <c r="O298" s="36">
        <v>6</v>
      </c>
      <c r="P298" s="24" t="str" cm="1">
        <f t="array" ref="P298">_xlfn.IFS(O298&lt;=6,"Detractors",AND(O298&gt;=7,O298&lt;=8),"Passives",AND(O298&gt;8,O298&lt;=10),"Promoters",O298="Not Available","NA")</f>
        <v>Detractors</v>
      </c>
    </row>
    <row r="299" spans="1:16" ht="14.25" customHeight="1" x14ac:dyDescent="0.3">
      <c r="A299" s="2" t="s">
        <v>325</v>
      </c>
      <c r="B299" s="2" t="s">
        <v>15</v>
      </c>
      <c r="C299" s="2" t="s">
        <v>16</v>
      </c>
      <c r="D299" s="3">
        <v>45946</v>
      </c>
      <c r="E299" s="3">
        <v>45951</v>
      </c>
      <c r="F299" s="3">
        <v>45956</v>
      </c>
      <c r="G299" s="3">
        <v>45960</v>
      </c>
      <c r="H299" s="23" t="str">
        <f t="shared" si="4"/>
        <v>Delivered</v>
      </c>
      <c r="I299" s="2" t="s">
        <v>17</v>
      </c>
      <c r="J299" s="24" t="s">
        <v>1054</v>
      </c>
      <c r="K299" s="3">
        <v>45987</v>
      </c>
      <c r="L299" s="2">
        <v>5</v>
      </c>
      <c r="M299" s="2">
        <v>5</v>
      </c>
      <c r="N299" s="2">
        <v>4</v>
      </c>
      <c r="O299" s="36">
        <v>10</v>
      </c>
      <c r="P299" s="24" t="str" cm="1">
        <f t="array" ref="P299">_xlfn.IFS(O299&lt;=6,"Detractors",AND(O299&gt;=7,O299&lt;=8),"Passives",AND(O299&gt;8,O299&lt;=10),"Promoters",O299="Not Available","NA")</f>
        <v>Promoters</v>
      </c>
    </row>
    <row r="300" spans="1:16" ht="14.25" customHeight="1" x14ac:dyDescent="0.3">
      <c r="A300" s="42" t="s">
        <v>326</v>
      </c>
      <c r="B300" s="2" t="s">
        <v>32</v>
      </c>
      <c r="C300" s="2" t="s">
        <v>30</v>
      </c>
      <c r="D300" s="3">
        <v>45945</v>
      </c>
      <c r="E300" s="3">
        <v>45950</v>
      </c>
      <c r="F300" s="3">
        <v>45951</v>
      </c>
      <c r="G300" s="3">
        <v>45953</v>
      </c>
      <c r="H300" s="23" t="str">
        <f t="shared" si="4"/>
        <v>Delivered</v>
      </c>
      <c r="I300" s="2" t="s">
        <v>17</v>
      </c>
      <c r="J300" s="24" t="s">
        <v>1054</v>
      </c>
      <c r="K300" s="3">
        <v>45976</v>
      </c>
      <c r="L300" s="2">
        <v>5</v>
      </c>
      <c r="M300" s="2">
        <v>1</v>
      </c>
      <c r="N300" s="2">
        <v>2</v>
      </c>
      <c r="O300" s="36">
        <v>10</v>
      </c>
      <c r="P300" s="24" t="str" cm="1">
        <f t="array" ref="P300">_xlfn.IFS(O300&lt;=6,"Detractors",AND(O300&gt;=7,O300&lt;=8),"Passives",AND(O300&gt;8,O300&lt;=10),"Promoters",O300="Not Available","NA")</f>
        <v>Promoters</v>
      </c>
    </row>
    <row r="301" spans="1:16" ht="14.25" customHeight="1" x14ac:dyDescent="0.3">
      <c r="A301" s="2" t="s">
        <v>327</v>
      </c>
      <c r="B301" s="2" t="s">
        <v>21</v>
      </c>
      <c r="C301" s="2" t="s">
        <v>22</v>
      </c>
      <c r="D301" s="3">
        <v>45933</v>
      </c>
      <c r="H301" s="23" t="str">
        <f t="shared" si="4"/>
        <v>Not Delivered</v>
      </c>
      <c r="I301" s="2" t="s">
        <v>23</v>
      </c>
      <c r="J301" s="2" t="s">
        <v>33</v>
      </c>
      <c r="L301">
        <v>0</v>
      </c>
      <c r="M301">
        <v>0</v>
      </c>
      <c r="N301">
        <v>0</v>
      </c>
      <c r="O301" t="s">
        <v>1080</v>
      </c>
      <c r="P301" s="24" t="str" cm="1">
        <f t="array" ref="P301">_xlfn.IFS(O301&lt;=6,"Detractors",AND(O301&gt;=7,O301&lt;=8),"Passives",AND(O301&gt;8,O301&lt;=10),"Promoters",O301="Not Available","NA")</f>
        <v>NA</v>
      </c>
    </row>
    <row r="302" spans="1:16" ht="14.25" customHeight="1" x14ac:dyDescent="0.3">
      <c r="A302" s="2" t="s">
        <v>328</v>
      </c>
      <c r="B302" s="2" t="s">
        <v>19</v>
      </c>
      <c r="C302" s="2" t="s">
        <v>22</v>
      </c>
      <c r="D302" s="3">
        <v>45950</v>
      </c>
      <c r="H302" s="23" t="str">
        <f t="shared" si="4"/>
        <v>Not Delivered</v>
      </c>
      <c r="I302" s="2" t="s">
        <v>23</v>
      </c>
      <c r="J302" s="2" t="s">
        <v>101</v>
      </c>
      <c r="L302">
        <v>0</v>
      </c>
      <c r="M302">
        <v>0</v>
      </c>
      <c r="N302">
        <v>0</v>
      </c>
      <c r="O302" t="s">
        <v>1080</v>
      </c>
      <c r="P302" s="24" t="str" cm="1">
        <f t="array" ref="P302">_xlfn.IFS(O302&lt;=6,"Detractors",AND(O302&gt;=7,O302&lt;=8),"Passives",AND(O302&gt;8,O302&lt;=10),"Promoters",O302="Not Available","NA")</f>
        <v>NA</v>
      </c>
    </row>
    <row r="303" spans="1:16" ht="14.25" customHeight="1" x14ac:dyDescent="0.3">
      <c r="A303" s="2" t="s">
        <v>329</v>
      </c>
      <c r="B303" s="2" t="s">
        <v>15</v>
      </c>
      <c r="C303" s="2" t="s">
        <v>16</v>
      </c>
      <c r="D303" s="3">
        <v>45932</v>
      </c>
      <c r="E303" s="3">
        <v>45933</v>
      </c>
      <c r="F303" s="3">
        <v>45934</v>
      </c>
      <c r="G303" s="3">
        <v>45940</v>
      </c>
      <c r="H303" s="23" t="str">
        <f t="shared" si="4"/>
        <v>Delivered</v>
      </c>
      <c r="I303" s="2" t="s">
        <v>17</v>
      </c>
      <c r="J303" s="24" t="s">
        <v>1054</v>
      </c>
      <c r="K303" s="3">
        <v>45968</v>
      </c>
      <c r="L303" s="2">
        <v>1</v>
      </c>
      <c r="M303" s="2">
        <v>1</v>
      </c>
      <c r="N303" s="2">
        <v>6</v>
      </c>
      <c r="O303" s="36">
        <v>8</v>
      </c>
      <c r="P303" s="24" t="str" cm="1">
        <f t="array" ref="P303">_xlfn.IFS(O303&lt;=6,"Detractors",AND(O303&gt;=7,O303&lt;=8),"Passives",AND(O303&gt;8,O303&lt;=10),"Promoters",O303="Not Available","NA")</f>
        <v>Passives</v>
      </c>
    </row>
    <row r="304" spans="1:16" ht="14.25" customHeight="1" x14ac:dyDescent="0.3">
      <c r="A304" s="2" t="s">
        <v>330</v>
      </c>
      <c r="B304" s="2" t="s">
        <v>15</v>
      </c>
      <c r="C304" s="2" t="s">
        <v>16</v>
      </c>
      <c r="D304" s="3">
        <v>45959</v>
      </c>
      <c r="E304" s="3">
        <v>45963</v>
      </c>
      <c r="F304" s="3">
        <v>45968</v>
      </c>
      <c r="G304" s="3">
        <v>45973</v>
      </c>
      <c r="H304" s="23" t="str">
        <f t="shared" si="4"/>
        <v>Delivered</v>
      </c>
      <c r="I304" s="2" t="s">
        <v>17</v>
      </c>
      <c r="J304" s="24" t="s">
        <v>1054</v>
      </c>
      <c r="K304" s="3">
        <v>45990</v>
      </c>
      <c r="L304" s="2">
        <v>4</v>
      </c>
      <c r="M304" s="2">
        <v>5</v>
      </c>
      <c r="N304" s="2">
        <v>5</v>
      </c>
      <c r="O304" s="36">
        <v>5</v>
      </c>
      <c r="P304" s="24" t="str" cm="1">
        <f t="array" ref="P304">_xlfn.IFS(O304&lt;=6,"Detractors",AND(O304&gt;=7,O304&lt;=8),"Passives",AND(O304&gt;8,O304&lt;=10),"Promoters",O304="Not Available","NA")</f>
        <v>Detractors</v>
      </c>
    </row>
    <row r="305" spans="1:16" ht="14.25" customHeight="1" x14ac:dyDescent="0.3">
      <c r="A305" s="2" t="s">
        <v>331</v>
      </c>
      <c r="B305" s="2" t="s">
        <v>19</v>
      </c>
      <c r="C305" s="2" t="s">
        <v>16</v>
      </c>
      <c r="D305" s="3">
        <v>45944</v>
      </c>
      <c r="E305" s="3">
        <v>45949</v>
      </c>
      <c r="F305" s="3">
        <v>45954</v>
      </c>
      <c r="G305" s="3">
        <v>45957</v>
      </c>
      <c r="H305" s="23" t="str">
        <f t="shared" si="4"/>
        <v>Delivered</v>
      </c>
      <c r="I305" s="2" t="s">
        <v>17</v>
      </c>
      <c r="J305" s="24" t="s">
        <v>1054</v>
      </c>
      <c r="K305" s="3">
        <v>45984</v>
      </c>
      <c r="L305" s="2">
        <v>5</v>
      </c>
      <c r="M305" s="2">
        <v>5</v>
      </c>
      <c r="N305" s="2">
        <v>3</v>
      </c>
      <c r="O305" s="36">
        <v>6</v>
      </c>
      <c r="P305" s="24" t="str" cm="1">
        <f t="array" ref="P305">_xlfn.IFS(O305&lt;=6,"Detractors",AND(O305&gt;=7,O305&lt;=8),"Passives",AND(O305&gt;8,O305&lt;=10),"Promoters",O305="Not Available","NA")</f>
        <v>Detractors</v>
      </c>
    </row>
    <row r="306" spans="1:16" ht="14.25" customHeight="1" x14ac:dyDescent="0.3">
      <c r="A306" s="2" t="s">
        <v>332</v>
      </c>
      <c r="B306" s="2" t="s">
        <v>32</v>
      </c>
      <c r="C306" s="2" t="s">
        <v>16</v>
      </c>
      <c r="D306" s="3">
        <v>45954</v>
      </c>
      <c r="E306" s="3">
        <v>45956</v>
      </c>
      <c r="F306" s="3">
        <v>45958</v>
      </c>
      <c r="G306" s="3">
        <v>45963</v>
      </c>
      <c r="H306" s="23" t="str">
        <f t="shared" si="4"/>
        <v>Delivered</v>
      </c>
      <c r="I306" s="2" t="s">
        <v>17</v>
      </c>
      <c r="J306" s="24" t="s">
        <v>1054</v>
      </c>
      <c r="K306" s="3">
        <v>45974</v>
      </c>
      <c r="L306" s="2">
        <v>2</v>
      </c>
      <c r="M306" s="2">
        <v>2</v>
      </c>
      <c r="N306" s="2">
        <v>5</v>
      </c>
      <c r="O306" s="36">
        <v>1</v>
      </c>
      <c r="P306" s="24" t="str" cm="1">
        <f t="array" ref="P306">_xlfn.IFS(O306&lt;=6,"Detractors",AND(O306&gt;=7,O306&lt;=8),"Passives",AND(O306&gt;8,O306&lt;=10),"Promoters",O306="Not Available","NA")</f>
        <v>Detractors</v>
      </c>
    </row>
    <row r="307" spans="1:16" ht="14.25" customHeight="1" x14ac:dyDescent="0.3">
      <c r="A307" s="2" t="s">
        <v>333</v>
      </c>
      <c r="B307" s="2" t="s">
        <v>19</v>
      </c>
      <c r="C307" s="2" t="s">
        <v>16</v>
      </c>
      <c r="D307" s="3">
        <v>45941</v>
      </c>
      <c r="E307" s="3">
        <v>45944</v>
      </c>
      <c r="F307" s="3">
        <v>45949</v>
      </c>
      <c r="G307" s="3">
        <v>45952</v>
      </c>
      <c r="H307" s="23" t="str">
        <f t="shared" si="4"/>
        <v>Delivered</v>
      </c>
      <c r="I307" s="2" t="s">
        <v>17</v>
      </c>
      <c r="J307" s="24" t="s">
        <v>1054</v>
      </c>
      <c r="K307" s="3">
        <v>45974</v>
      </c>
      <c r="L307" s="2">
        <v>3</v>
      </c>
      <c r="M307" s="2">
        <v>5</v>
      </c>
      <c r="N307" s="2">
        <v>3</v>
      </c>
      <c r="O307" s="36">
        <v>1</v>
      </c>
      <c r="P307" s="24" t="str" cm="1">
        <f t="array" ref="P307">_xlfn.IFS(O307&lt;=6,"Detractors",AND(O307&gt;=7,O307&lt;=8),"Passives",AND(O307&gt;8,O307&lt;=10),"Promoters",O307="Not Available","NA")</f>
        <v>Detractors</v>
      </c>
    </row>
    <row r="308" spans="1:16" ht="14.25" customHeight="1" x14ac:dyDescent="0.3">
      <c r="A308" s="2" t="s">
        <v>334</v>
      </c>
      <c r="B308" s="2" t="s">
        <v>32</v>
      </c>
      <c r="C308" s="2" t="s">
        <v>16</v>
      </c>
      <c r="D308" s="3">
        <v>45950</v>
      </c>
      <c r="E308" s="3">
        <v>45955</v>
      </c>
      <c r="F308" s="3">
        <v>45960</v>
      </c>
      <c r="G308" s="3">
        <v>45965</v>
      </c>
      <c r="H308" s="23" t="str">
        <f t="shared" si="4"/>
        <v>Delivered</v>
      </c>
      <c r="I308" s="2" t="s">
        <v>17</v>
      </c>
      <c r="J308" s="24" t="s">
        <v>1054</v>
      </c>
      <c r="K308" s="3">
        <v>45991</v>
      </c>
      <c r="L308" s="2">
        <v>5</v>
      </c>
      <c r="M308" s="2">
        <v>5</v>
      </c>
      <c r="N308" s="2">
        <v>5</v>
      </c>
      <c r="O308" s="36">
        <v>8</v>
      </c>
      <c r="P308" s="24" t="str" cm="1">
        <f t="array" ref="P308">_xlfn.IFS(O308&lt;=6,"Detractors",AND(O308&gt;=7,O308&lt;=8),"Passives",AND(O308&gt;8,O308&lt;=10),"Promoters",O308="Not Available","NA")</f>
        <v>Passives</v>
      </c>
    </row>
    <row r="309" spans="1:16" ht="14.25" customHeight="1" x14ac:dyDescent="0.3">
      <c r="A309" s="2" t="s">
        <v>335</v>
      </c>
      <c r="B309" s="2" t="s">
        <v>19</v>
      </c>
      <c r="C309" s="2" t="s">
        <v>16</v>
      </c>
      <c r="D309" s="3">
        <v>45939</v>
      </c>
      <c r="E309" s="3">
        <v>45943</v>
      </c>
      <c r="F309" s="3">
        <v>45945</v>
      </c>
      <c r="G309" s="3">
        <v>45949</v>
      </c>
      <c r="H309" s="23" t="str">
        <f t="shared" si="4"/>
        <v>Delivered</v>
      </c>
      <c r="I309" s="2" t="s">
        <v>17</v>
      </c>
      <c r="J309" s="24" t="s">
        <v>1054</v>
      </c>
      <c r="K309" s="3">
        <v>45972</v>
      </c>
      <c r="L309" s="2">
        <v>4</v>
      </c>
      <c r="M309" s="2">
        <v>2</v>
      </c>
      <c r="N309" s="2">
        <v>4</v>
      </c>
      <c r="O309" s="36">
        <v>9</v>
      </c>
      <c r="P309" s="24" t="str" cm="1">
        <f t="array" ref="P309">_xlfn.IFS(O309&lt;=6,"Detractors",AND(O309&gt;=7,O309&lt;=8),"Passives",AND(O309&gt;8,O309&lt;=10),"Promoters",O309="Not Available","NA")</f>
        <v>Promoters</v>
      </c>
    </row>
    <row r="310" spans="1:16" ht="14.25" customHeight="1" x14ac:dyDescent="0.3">
      <c r="A310" s="2" t="s">
        <v>336</v>
      </c>
      <c r="B310" s="2" t="s">
        <v>21</v>
      </c>
      <c r="C310" s="2" t="s">
        <v>16</v>
      </c>
      <c r="D310" s="3">
        <v>45931</v>
      </c>
      <c r="E310" s="3">
        <v>45936</v>
      </c>
      <c r="F310" s="3">
        <v>45938</v>
      </c>
      <c r="G310" s="3">
        <v>45942</v>
      </c>
      <c r="H310" s="23" t="str">
        <f t="shared" si="4"/>
        <v>Delivered</v>
      </c>
      <c r="I310" s="2" t="s">
        <v>17</v>
      </c>
      <c r="J310" s="24" t="s">
        <v>1054</v>
      </c>
      <c r="K310" s="3">
        <v>45969</v>
      </c>
      <c r="L310" s="2">
        <v>5</v>
      </c>
      <c r="M310" s="2">
        <v>2</v>
      </c>
      <c r="N310" s="2">
        <v>4</v>
      </c>
      <c r="O310" s="36">
        <v>6</v>
      </c>
      <c r="P310" s="24" t="str" cm="1">
        <f t="array" ref="P310">_xlfn.IFS(O310&lt;=6,"Detractors",AND(O310&gt;=7,O310&lt;=8),"Passives",AND(O310&gt;8,O310&lt;=10),"Promoters",O310="Not Available","NA")</f>
        <v>Detractors</v>
      </c>
    </row>
    <row r="311" spans="1:16" ht="14.25" customHeight="1" x14ac:dyDescent="0.3">
      <c r="A311" s="2" t="s">
        <v>337</v>
      </c>
      <c r="B311" s="2" t="s">
        <v>32</v>
      </c>
      <c r="C311" s="2" t="s">
        <v>16</v>
      </c>
      <c r="D311" s="3">
        <v>45933</v>
      </c>
      <c r="E311" s="3">
        <v>45935</v>
      </c>
      <c r="F311" s="3">
        <v>45938</v>
      </c>
      <c r="G311" s="3">
        <v>45942</v>
      </c>
      <c r="H311" s="23" t="str">
        <f t="shared" si="4"/>
        <v>Delivered</v>
      </c>
      <c r="I311" s="2" t="s">
        <v>17</v>
      </c>
      <c r="J311" s="24" t="s">
        <v>1054</v>
      </c>
      <c r="K311" s="3">
        <v>45967</v>
      </c>
      <c r="L311" s="2">
        <v>2</v>
      </c>
      <c r="M311" s="2">
        <v>3</v>
      </c>
      <c r="N311" s="2">
        <v>4</v>
      </c>
      <c r="O311" s="36">
        <v>5</v>
      </c>
      <c r="P311" s="24" t="str" cm="1">
        <f t="array" ref="P311">_xlfn.IFS(O311&lt;=6,"Detractors",AND(O311&gt;=7,O311&lt;=8),"Passives",AND(O311&gt;8,O311&lt;=10),"Promoters",O311="Not Available","NA")</f>
        <v>Detractors</v>
      </c>
    </row>
    <row r="312" spans="1:16" ht="14.25" customHeight="1" x14ac:dyDescent="0.3">
      <c r="A312" s="42" t="s">
        <v>338</v>
      </c>
      <c r="B312" s="2" t="s">
        <v>21</v>
      </c>
      <c r="C312" s="2" t="s">
        <v>30</v>
      </c>
      <c r="D312" s="3">
        <v>45938</v>
      </c>
      <c r="E312" s="3">
        <v>45939</v>
      </c>
      <c r="F312" s="3">
        <v>45944</v>
      </c>
      <c r="G312" s="3">
        <v>45948</v>
      </c>
      <c r="H312" s="23" t="str">
        <f t="shared" si="4"/>
        <v>Delivered</v>
      </c>
      <c r="I312" s="2" t="s">
        <v>17</v>
      </c>
      <c r="J312" s="24" t="s">
        <v>1054</v>
      </c>
      <c r="K312" s="3">
        <v>45976</v>
      </c>
      <c r="L312" s="2">
        <v>1</v>
      </c>
      <c r="M312" s="2">
        <v>5</v>
      </c>
      <c r="N312" s="2">
        <v>4</v>
      </c>
      <c r="O312" s="36">
        <v>3</v>
      </c>
      <c r="P312" s="24" t="str" cm="1">
        <f t="array" ref="P312">_xlfn.IFS(O312&lt;=6,"Detractors",AND(O312&gt;=7,O312&lt;=8),"Passives",AND(O312&gt;8,O312&lt;=10),"Promoters",O312="Not Available","NA")</f>
        <v>Detractors</v>
      </c>
    </row>
    <row r="313" spans="1:16" ht="14.25" customHeight="1" x14ac:dyDescent="0.3">
      <c r="A313" s="42" t="s">
        <v>339</v>
      </c>
      <c r="B313" s="2" t="s">
        <v>15</v>
      </c>
      <c r="C313" s="2" t="s">
        <v>30</v>
      </c>
      <c r="D313" s="3">
        <v>45961</v>
      </c>
      <c r="E313" s="3">
        <v>45965</v>
      </c>
      <c r="F313" s="3">
        <v>45969</v>
      </c>
      <c r="G313" s="3">
        <v>45975</v>
      </c>
      <c r="H313" s="23" t="str">
        <f t="shared" si="4"/>
        <v>Delivered</v>
      </c>
      <c r="I313" s="2" t="s">
        <v>17</v>
      </c>
      <c r="J313" s="24" t="s">
        <v>1054</v>
      </c>
      <c r="K313" s="3">
        <v>45992</v>
      </c>
      <c r="L313" s="2">
        <v>4</v>
      </c>
      <c r="M313" s="2">
        <v>4</v>
      </c>
      <c r="N313" s="2">
        <v>6</v>
      </c>
      <c r="O313" s="36">
        <v>6</v>
      </c>
      <c r="P313" s="24" t="str" cm="1">
        <f t="array" ref="P313">_xlfn.IFS(O313&lt;=6,"Detractors",AND(O313&gt;=7,O313&lt;=8),"Passives",AND(O313&gt;8,O313&lt;=10),"Promoters",O313="Not Available","NA")</f>
        <v>Detractors</v>
      </c>
    </row>
    <row r="314" spans="1:16" ht="14.25" customHeight="1" x14ac:dyDescent="0.3">
      <c r="A314" s="2" t="s">
        <v>340</v>
      </c>
      <c r="B314" s="2" t="s">
        <v>19</v>
      </c>
      <c r="C314" s="2" t="s">
        <v>16</v>
      </c>
      <c r="D314" s="3">
        <v>45952</v>
      </c>
      <c r="E314" s="3">
        <v>45953</v>
      </c>
      <c r="F314" s="3">
        <v>45954</v>
      </c>
      <c r="G314" s="3">
        <v>45960</v>
      </c>
      <c r="H314" s="23" t="str">
        <f t="shared" si="4"/>
        <v>Delivered</v>
      </c>
      <c r="I314" s="2" t="s">
        <v>17</v>
      </c>
      <c r="J314" s="24" t="s">
        <v>1054</v>
      </c>
      <c r="K314" s="3">
        <v>45985</v>
      </c>
      <c r="L314" s="2">
        <v>1</v>
      </c>
      <c r="M314" s="2">
        <v>1</v>
      </c>
      <c r="N314" s="2">
        <v>6</v>
      </c>
      <c r="O314" s="36">
        <v>6</v>
      </c>
      <c r="P314" s="24" t="str" cm="1">
        <f t="array" ref="P314">_xlfn.IFS(O314&lt;=6,"Detractors",AND(O314&gt;=7,O314&lt;=8),"Passives",AND(O314&gt;8,O314&lt;=10),"Promoters",O314="Not Available","NA")</f>
        <v>Detractors</v>
      </c>
    </row>
    <row r="315" spans="1:16" ht="14.25" customHeight="1" x14ac:dyDescent="0.3">
      <c r="A315" s="2" t="s">
        <v>341</v>
      </c>
      <c r="B315" s="2" t="s">
        <v>15</v>
      </c>
      <c r="C315" s="2" t="s">
        <v>16</v>
      </c>
      <c r="D315" s="3">
        <v>45957</v>
      </c>
      <c r="E315" s="3">
        <v>45960</v>
      </c>
      <c r="F315" s="3">
        <v>45962</v>
      </c>
      <c r="G315" s="3">
        <v>45965</v>
      </c>
      <c r="H315" s="23" t="str">
        <f t="shared" si="4"/>
        <v>Delivered</v>
      </c>
      <c r="I315" s="2" t="s">
        <v>17</v>
      </c>
      <c r="J315" s="24" t="s">
        <v>1054</v>
      </c>
      <c r="K315" s="3">
        <v>45984</v>
      </c>
      <c r="L315" s="2">
        <v>3</v>
      </c>
      <c r="M315" s="2">
        <v>2</v>
      </c>
      <c r="N315" s="2">
        <v>3</v>
      </c>
      <c r="O315" s="36">
        <v>6</v>
      </c>
      <c r="P315" s="24" t="str" cm="1">
        <f t="array" ref="P315">_xlfn.IFS(O315&lt;=6,"Detractors",AND(O315&gt;=7,O315&lt;=8),"Passives",AND(O315&gt;8,O315&lt;=10),"Promoters",O315="Not Available","NA")</f>
        <v>Detractors</v>
      </c>
    </row>
    <row r="316" spans="1:16" ht="14.25" customHeight="1" x14ac:dyDescent="0.3">
      <c r="A316" s="2" t="s">
        <v>342</v>
      </c>
      <c r="B316" s="2" t="s">
        <v>15</v>
      </c>
      <c r="C316" s="2" t="s">
        <v>16</v>
      </c>
      <c r="D316" s="3">
        <v>45958</v>
      </c>
      <c r="E316" s="3">
        <v>45959</v>
      </c>
      <c r="F316" s="3">
        <v>45964</v>
      </c>
      <c r="G316" s="3">
        <v>45970</v>
      </c>
      <c r="H316" s="23" t="str">
        <f t="shared" si="4"/>
        <v>Delivered</v>
      </c>
      <c r="I316" s="2" t="s">
        <v>17</v>
      </c>
      <c r="J316" s="24" t="s">
        <v>1054</v>
      </c>
      <c r="K316" s="3">
        <v>45982</v>
      </c>
      <c r="L316" s="2">
        <v>1</v>
      </c>
      <c r="M316" s="2">
        <v>5</v>
      </c>
      <c r="N316" s="2">
        <v>6</v>
      </c>
      <c r="O316" s="36">
        <v>4</v>
      </c>
      <c r="P316" s="24" t="str" cm="1">
        <f t="array" ref="P316">_xlfn.IFS(O316&lt;=6,"Detractors",AND(O316&gt;=7,O316&lt;=8),"Passives",AND(O316&gt;8,O316&lt;=10),"Promoters",O316="Not Available","NA")</f>
        <v>Detractors</v>
      </c>
    </row>
    <row r="317" spans="1:16" ht="14.25" customHeight="1" x14ac:dyDescent="0.3">
      <c r="A317" s="2" t="s">
        <v>343</v>
      </c>
      <c r="B317" s="2" t="s">
        <v>15</v>
      </c>
      <c r="C317" s="2" t="s">
        <v>16</v>
      </c>
      <c r="D317" s="3">
        <v>45949</v>
      </c>
      <c r="E317" s="3">
        <v>45954</v>
      </c>
      <c r="F317" s="3">
        <v>45958</v>
      </c>
      <c r="G317" s="3">
        <v>45963</v>
      </c>
      <c r="H317" s="23" t="str">
        <f t="shared" si="4"/>
        <v>Delivered</v>
      </c>
      <c r="I317" s="2" t="s">
        <v>17</v>
      </c>
      <c r="J317" s="24" t="s">
        <v>1054</v>
      </c>
      <c r="K317" s="3">
        <v>45985</v>
      </c>
      <c r="L317" s="2">
        <v>5</v>
      </c>
      <c r="M317" s="2">
        <v>4</v>
      </c>
      <c r="N317" s="2">
        <v>5</v>
      </c>
      <c r="O317" s="36">
        <v>5</v>
      </c>
      <c r="P317" s="24" t="str" cm="1">
        <f t="array" ref="P317">_xlfn.IFS(O317&lt;=6,"Detractors",AND(O317&gt;=7,O317&lt;=8),"Passives",AND(O317&gt;8,O317&lt;=10),"Promoters",O317="Not Available","NA")</f>
        <v>Detractors</v>
      </c>
    </row>
    <row r="318" spans="1:16" ht="14.25" customHeight="1" x14ac:dyDescent="0.3">
      <c r="A318" s="2" t="s">
        <v>344</v>
      </c>
      <c r="B318" s="2" t="s">
        <v>15</v>
      </c>
      <c r="C318" s="2" t="s">
        <v>16</v>
      </c>
      <c r="D318" s="3">
        <v>45949</v>
      </c>
      <c r="E318" s="3">
        <v>45951</v>
      </c>
      <c r="F318" s="3">
        <v>45952</v>
      </c>
      <c r="G318" s="3">
        <v>45956</v>
      </c>
      <c r="H318" s="23" t="str">
        <f t="shared" si="4"/>
        <v>Delivered</v>
      </c>
      <c r="I318" s="2" t="s">
        <v>17</v>
      </c>
      <c r="J318" s="24" t="s">
        <v>1054</v>
      </c>
      <c r="K318" s="3">
        <v>45967</v>
      </c>
      <c r="L318" s="2">
        <v>2</v>
      </c>
      <c r="M318" s="2">
        <v>1</v>
      </c>
      <c r="N318" s="2">
        <v>4</v>
      </c>
      <c r="O318" s="36">
        <v>9</v>
      </c>
      <c r="P318" s="24" t="str" cm="1">
        <f t="array" ref="P318">_xlfn.IFS(O318&lt;=6,"Detractors",AND(O318&gt;=7,O318&lt;=8),"Passives",AND(O318&gt;8,O318&lt;=10),"Promoters",O318="Not Available","NA")</f>
        <v>Promoters</v>
      </c>
    </row>
    <row r="319" spans="1:16" ht="14.25" customHeight="1" x14ac:dyDescent="0.3">
      <c r="A319" s="2" t="s">
        <v>345</v>
      </c>
      <c r="B319" s="2" t="s">
        <v>19</v>
      </c>
      <c r="C319" s="2" t="s">
        <v>16</v>
      </c>
      <c r="D319" s="3">
        <v>45961</v>
      </c>
      <c r="E319" s="3">
        <v>45962</v>
      </c>
      <c r="F319" s="3">
        <v>45967</v>
      </c>
      <c r="G319" s="3">
        <v>45974</v>
      </c>
      <c r="H319" s="23" t="str">
        <f t="shared" si="4"/>
        <v>Delivered</v>
      </c>
      <c r="I319" s="2" t="s">
        <v>23</v>
      </c>
      <c r="J319" s="2" t="s">
        <v>63</v>
      </c>
      <c r="L319" s="2">
        <v>1</v>
      </c>
      <c r="M319" s="2">
        <v>5</v>
      </c>
      <c r="N319" s="2">
        <v>7</v>
      </c>
      <c r="O319" t="s">
        <v>1080</v>
      </c>
      <c r="P319" s="24" t="str" cm="1">
        <f t="array" ref="P319">_xlfn.IFS(O319&lt;=6,"Detractors",AND(O319&gt;=7,O319&lt;=8),"Passives",AND(O319&gt;8,O319&lt;=10),"Promoters",O319="Not Available","NA")</f>
        <v>NA</v>
      </c>
    </row>
    <row r="320" spans="1:16" ht="14.25" customHeight="1" x14ac:dyDescent="0.3">
      <c r="A320" s="2" t="s">
        <v>346</v>
      </c>
      <c r="B320" s="2" t="s">
        <v>15</v>
      </c>
      <c r="C320" s="2" t="s">
        <v>16</v>
      </c>
      <c r="D320" s="3">
        <v>45931</v>
      </c>
      <c r="E320" s="3">
        <v>45933</v>
      </c>
      <c r="F320" s="3">
        <v>45937</v>
      </c>
      <c r="G320" s="3">
        <v>45939</v>
      </c>
      <c r="H320" s="23" t="str">
        <f t="shared" si="4"/>
        <v>Delivered</v>
      </c>
      <c r="I320" s="2" t="s">
        <v>17</v>
      </c>
      <c r="J320" s="24" t="s">
        <v>1054</v>
      </c>
      <c r="K320" s="3">
        <v>45965</v>
      </c>
      <c r="L320" s="2">
        <v>2</v>
      </c>
      <c r="M320" s="2">
        <v>4</v>
      </c>
      <c r="N320" s="2">
        <v>2</v>
      </c>
      <c r="O320" s="36">
        <v>6</v>
      </c>
      <c r="P320" s="24" t="str" cm="1">
        <f t="array" ref="P320">_xlfn.IFS(O320&lt;=6,"Detractors",AND(O320&gt;=7,O320&lt;=8),"Passives",AND(O320&gt;8,O320&lt;=10),"Promoters",O320="Not Available","NA")</f>
        <v>Detractors</v>
      </c>
    </row>
    <row r="321" spans="1:16" ht="14.25" customHeight="1" x14ac:dyDescent="0.3">
      <c r="A321" s="2" t="s">
        <v>347</v>
      </c>
      <c r="B321" s="2" t="s">
        <v>19</v>
      </c>
      <c r="C321" s="2" t="s">
        <v>16</v>
      </c>
      <c r="D321" s="3">
        <v>45955</v>
      </c>
      <c r="E321" s="3">
        <v>45959</v>
      </c>
      <c r="F321" s="3">
        <v>45960</v>
      </c>
      <c r="G321" s="3">
        <v>45962</v>
      </c>
      <c r="H321" s="23" t="str">
        <f t="shared" si="4"/>
        <v>Delivered</v>
      </c>
      <c r="I321" s="2" t="s">
        <v>23</v>
      </c>
      <c r="J321" s="2" t="s">
        <v>33</v>
      </c>
      <c r="L321" s="2">
        <v>4</v>
      </c>
      <c r="M321" s="2">
        <v>1</v>
      </c>
      <c r="N321" s="2">
        <v>2</v>
      </c>
      <c r="O321" t="s">
        <v>1080</v>
      </c>
      <c r="P321" s="24" t="str" cm="1">
        <f t="array" ref="P321">_xlfn.IFS(O321&lt;=6,"Detractors",AND(O321&gt;=7,O321&lt;=8),"Passives",AND(O321&gt;8,O321&lt;=10),"Promoters",O321="Not Available","NA")</f>
        <v>NA</v>
      </c>
    </row>
    <row r="322" spans="1:16" ht="14.25" customHeight="1" x14ac:dyDescent="0.3">
      <c r="A322" s="2" t="s">
        <v>348</v>
      </c>
      <c r="B322" s="2" t="s">
        <v>19</v>
      </c>
      <c r="C322" s="2" t="s">
        <v>16</v>
      </c>
      <c r="D322" s="3">
        <v>45952</v>
      </c>
      <c r="E322" s="3">
        <v>45956</v>
      </c>
      <c r="F322" s="3">
        <v>45960</v>
      </c>
      <c r="G322" s="3">
        <v>45962</v>
      </c>
      <c r="H322" s="23" t="str">
        <f t="shared" si="4"/>
        <v>Delivered</v>
      </c>
      <c r="I322" s="2" t="s">
        <v>17</v>
      </c>
      <c r="J322" s="24" t="s">
        <v>1054</v>
      </c>
      <c r="K322" s="3">
        <v>45990</v>
      </c>
      <c r="L322" s="2">
        <v>4</v>
      </c>
      <c r="M322" s="2">
        <v>4</v>
      </c>
      <c r="N322" s="2">
        <v>2</v>
      </c>
      <c r="O322" s="36">
        <v>4</v>
      </c>
      <c r="P322" s="24" t="str" cm="1">
        <f t="array" ref="P322">_xlfn.IFS(O322&lt;=6,"Detractors",AND(O322&gt;=7,O322&lt;=8),"Passives",AND(O322&gt;8,O322&lt;=10),"Promoters",O322="Not Available","NA")</f>
        <v>Detractors</v>
      </c>
    </row>
    <row r="323" spans="1:16" ht="14.25" customHeight="1" x14ac:dyDescent="0.3">
      <c r="A323" s="2" t="s">
        <v>349</v>
      </c>
      <c r="B323" s="2" t="s">
        <v>21</v>
      </c>
      <c r="C323" s="2" t="s">
        <v>22</v>
      </c>
      <c r="D323" s="3">
        <v>45957</v>
      </c>
      <c r="H323" s="23" t="str">
        <f t="shared" ref="H323:H386" si="5">IF(G323="", "Not Delivered", "Delivered")</f>
        <v>Not Delivered</v>
      </c>
      <c r="I323" s="2" t="s">
        <v>23</v>
      </c>
      <c r="J323" s="2" t="s">
        <v>26</v>
      </c>
      <c r="L323">
        <v>0</v>
      </c>
      <c r="M323">
        <v>0</v>
      </c>
      <c r="N323">
        <v>0</v>
      </c>
      <c r="O323" t="s">
        <v>1080</v>
      </c>
      <c r="P323" s="24" t="str" cm="1">
        <f t="array" ref="P323">_xlfn.IFS(O323&lt;=6,"Detractors",AND(O323&gt;=7,O323&lt;=8),"Passives",AND(O323&gt;8,O323&lt;=10),"Promoters",O323="Not Available","NA")</f>
        <v>NA</v>
      </c>
    </row>
    <row r="324" spans="1:16" ht="14.25" customHeight="1" x14ac:dyDescent="0.3">
      <c r="A324" s="2" t="s">
        <v>350</v>
      </c>
      <c r="B324" s="2" t="s">
        <v>32</v>
      </c>
      <c r="C324" s="2" t="s">
        <v>16</v>
      </c>
      <c r="D324" s="3">
        <v>45939</v>
      </c>
      <c r="E324" s="3">
        <v>45944</v>
      </c>
      <c r="F324" s="3">
        <v>45946</v>
      </c>
      <c r="G324" s="3">
        <v>45953</v>
      </c>
      <c r="H324" s="23" t="str">
        <f t="shared" si="5"/>
        <v>Delivered</v>
      </c>
      <c r="I324" s="2" t="s">
        <v>23</v>
      </c>
      <c r="J324" s="2" t="s">
        <v>63</v>
      </c>
      <c r="L324" s="2">
        <v>5</v>
      </c>
      <c r="M324" s="2">
        <v>2</v>
      </c>
      <c r="N324" s="2">
        <v>7</v>
      </c>
      <c r="O324" t="s">
        <v>1080</v>
      </c>
      <c r="P324" s="24" t="str" cm="1">
        <f t="array" ref="P324">_xlfn.IFS(O324&lt;=6,"Detractors",AND(O324&gt;=7,O324&lt;=8),"Passives",AND(O324&gt;8,O324&lt;=10),"Promoters",O324="Not Available","NA")</f>
        <v>NA</v>
      </c>
    </row>
    <row r="325" spans="1:16" ht="14.25" customHeight="1" x14ac:dyDescent="0.3">
      <c r="A325" s="42" t="s">
        <v>351</v>
      </c>
      <c r="B325" s="2" t="s">
        <v>32</v>
      </c>
      <c r="C325" s="2" t="s">
        <v>30</v>
      </c>
      <c r="D325" s="3">
        <v>45949</v>
      </c>
      <c r="E325" s="3">
        <v>45954</v>
      </c>
      <c r="F325" s="3">
        <v>45959</v>
      </c>
      <c r="G325" s="3">
        <v>45964</v>
      </c>
      <c r="H325" s="23" t="str">
        <f t="shared" si="5"/>
        <v>Delivered</v>
      </c>
      <c r="I325" s="2" t="s">
        <v>17</v>
      </c>
      <c r="J325" s="24" t="s">
        <v>1054</v>
      </c>
      <c r="K325" s="3">
        <v>45990</v>
      </c>
      <c r="L325" s="2">
        <v>5</v>
      </c>
      <c r="M325" s="2">
        <v>5</v>
      </c>
      <c r="N325" s="2">
        <v>5</v>
      </c>
      <c r="O325" s="36">
        <v>2</v>
      </c>
      <c r="P325" s="24" t="str" cm="1">
        <f t="array" ref="P325">_xlfn.IFS(O325&lt;=6,"Detractors",AND(O325&gt;=7,O325&lt;=8),"Passives",AND(O325&gt;8,O325&lt;=10),"Promoters",O325="Not Available","NA")</f>
        <v>Detractors</v>
      </c>
    </row>
    <row r="326" spans="1:16" ht="14.25" customHeight="1" x14ac:dyDescent="0.3">
      <c r="A326" s="2" t="s">
        <v>352</v>
      </c>
      <c r="B326" s="2" t="s">
        <v>19</v>
      </c>
      <c r="C326" s="2" t="s">
        <v>30</v>
      </c>
      <c r="D326" s="3">
        <v>45932</v>
      </c>
      <c r="E326" s="3">
        <v>45937</v>
      </c>
      <c r="F326" s="3">
        <v>45941</v>
      </c>
      <c r="G326" s="3">
        <v>45943</v>
      </c>
      <c r="H326" s="23" t="str">
        <f t="shared" si="5"/>
        <v>Delivered</v>
      </c>
      <c r="I326" s="2" t="s">
        <v>23</v>
      </c>
      <c r="J326" s="2" t="s">
        <v>24</v>
      </c>
      <c r="L326" s="2">
        <v>5</v>
      </c>
      <c r="M326" s="2">
        <v>4</v>
      </c>
      <c r="N326" s="2">
        <v>2</v>
      </c>
      <c r="O326" s="36" t="s">
        <v>1080</v>
      </c>
      <c r="P326" s="24" t="str" cm="1">
        <f t="array" ref="P326">_xlfn.IFS(O326&lt;=6,"Detractors",AND(O326&gt;=7,O326&lt;=8),"Passives",AND(O326&gt;8,O326&lt;=10),"Promoters",O326="Not Available","NA")</f>
        <v>NA</v>
      </c>
    </row>
    <row r="327" spans="1:16" ht="14.25" customHeight="1" x14ac:dyDescent="0.3">
      <c r="A327" s="42" t="s">
        <v>353</v>
      </c>
      <c r="B327" s="2" t="s">
        <v>21</v>
      </c>
      <c r="C327" s="2" t="s">
        <v>30</v>
      </c>
      <c r="D327" s="3">
        <v>45955</v>
      </c>
      <c r="E327" s="3">
        <v>45957</v>
      </c>
      <c r="F327" s="3">
        <v>45961</v>
      </c>
      <c r="G327" s="3">
        <v>45963</v>
      </c>
      <c r="H327" s="23" t="str">
        <f t="shared" si="5"/>
        <v>Delivered</v>
      </c>
      <c r="I327" s="2" t="s">
        <v>17</v>
      </c>
      <c r="J327" s="24" t="s">
        <v>1054</v>
      </c>
      <c r="K327" s="3">
        <v>45991</v>
      </c>
      <c r="L327" s="2">
        <v>2</v>
      </c>
      <c r="M327" s="2">
        <v>4</v>
      </c>
      <c r="N327" s="2">
        <v>2</v>
      </c>
      <c r="O327" s="36">
        <v>10</v>
      </c>
      <c r="P327" s="24" t="str" cm="1">
        <f t="array" ref="P327">_xlfn.IFS(O327&lt;=6,"Detractors",AND(O327&gt;=7,O327&lt;=8),"Passives",AND(O327&gt;8,O327&lt;=10),"Promoters",O327="Not Available","NA")</f>
        <v>Promoters</v>
      </c>
    </row>
    <row r="328" spans="1:16" ht="14.25" customHeight="1" x14ac:dyDescent="0.3">
      <c r="A328" s="2" t="s">
        <v>354</v>
      </c>
      <c r="B328" s="2" t="s">
        <v>19</v>
      </c>
      <c r="C328" s="2" t="s">
        <v>16</v>
      </c>
      <c r="D328" s="3">
        <v>45955</v>
      </c>
      <c r="E328" s="3">
        <v>45958</v>
      </c>
      <c r="F328" s="3">
        <v>45963</v>
      </c>
      <c r="G328" s="3">
        <v>45966</v>
      </c>
      <c r="H328" s="23" t="str">
        <f t="shared" si="5"/>
        <v>Delivered</v>
      </c>
      <c r="I328" s="2" t="s">
        <v>17</v>
      </c>
      <c r="J328" s="24" t="s">
        <v>1054</v>
      </c>
      <c r="K328" s="3">
        <v>45995</v>
      </c>
      <c r="L328" s="2">
        <v>3</v>
      </c>
      <c r="M328" s="2">
        <v>5</v>
      </c>
      <c r="N328" s="2">
        <v>3</v>
      </c>
      <c r="O328" s="36">
        <v>6</v>
      </c>
      <c r="P328" s="24" t="str" cm="1">
        <f t="array" ref="P328">_xlfn.IFS(O328&lt;=6,"Detractors",AND(O328&gt;=7,O328&lt;=8),"Passives",AND(O328&gt;8,O328&lt;=10),"Promoters",O328="Not Available","NA")</f>
        <v>Detractors</v>
      </c>
    </row>
    <row r="329" spans="1:16" ht="14.25" customHeight="1" x14ac:dyDescent="0.3">
      <c r="A329" s="2" t="s">
        <v>355</v>
      </c>
      <c r="B329" s="2" t="s">
        <v>19</v>
      </c>
      <c r="C329" s="2" t="s">
        <v>16</v>
      </c>
      <c r="D329" s="3">
        <v>45936</v>
      </c>
      <c r="E329" s="3">
        <v>45939</v>
      </c>
      <c r="F329" s="3">
        <v>45940</v>
      </c>
      <c r="G329" s="3">
        <v>45945</v>
      </c>
      <c r="H329" s="23" t="str">
        <f t="shared" si="5"/>
        <v>Delivered</v>
      </c>
      <c r="I329" s="2" t="s">
        <v>17</v>
      </c>
      <c r="J329" s="24" t="s">
        <v>1054</v>
      </c>
      <c r="K329" s="3">
        <v>45959</v>
      </c>
      <c r="L329" s="2">
        <v>3</v>
      </c>
      <c r="M329" s="2">
        <v>1</v>
      </c>
      <c r="N329" s="2">
        <v>5</v>
      </c>
      <c r="O329" s="36">
        <v>7</v>
      </c>
      <c r="P329" s="24" t="str" cm="1">
        <f t="array" ref="P329">_xlfn.IFS(O329&lt;=6,"Detractors",AND(O329&gt;=7,O329&lt;=8),"Passives",AND(O329&gt;8,O329&lt;=10),"Promoters",O329="Not Available","NA")</f>
        <v>Passives</v>
      </c>
    </row>
    <row r="330" spans="1:16" ht="14.25" customHeight="1" x14ac:dyDescent="0.3">
      <c r="A330" s="2" t="s">
        <v>356</v>
      </c>
      <c r="B330" s="2" t="s">
        <v>19</v>
      </c>
      <c r="C330" s="2" t="s">
        <v>16</v>
      </c>
      <c r="D330" s="3">
        <v>45946</v>
      </c>
      <c r="E330" s="3">
        <v>45949</v>
      </c>
      <c r="F330" s="3">
        <v>45954</v>
      </c>
      <c r="G330" s="3">
        <v>45959</v>
      </c>
      <c r="H330" s="23" t="str">
        <f t="shared" si="5"/>
        <v>Delivered</v>
      </c>
      <c r="I330" s="2" t="s">
        <v>17</v>
      </c>
      <c r="J330" s="24" t="s">
        <v>1054</v>
      </c>
      <c r="K330" s="3">
        <v>45972</v>
      </c>
      <c r="L330" s="2">
        <v>3</v>
      </c>
      <c r="M330" s="2">
        <v>5</v>
      </c>
      <c r="N330" s="2">
        <v>5</v>
      </c>
      <c r="O330" s="36">
        <v>3</v>
      </c>
      <c r="P330" s="24" t="str" cm="1">
        <f t="array" ref="P330">_xlfn.IFS(O330&lt;=6,"Detractors",AND(O330&gt;=7,O330&lt;=8),"Passives",AND(O330&gt;8,O330&lt;=10),"Promoters",O330="Not Available","NA")</f>
        <v>Detractors</v>
      </c>
    </row>
    <row r="331" spans="1:16" ht="14.25" customHeight="1" x14ac:dyDescent="0.3">
      <c r="A331" s="2" t="s">
        <v>357</v>
      </c>
      <c r="B331" s="2" t="s">
        <v>21</v>
      </c>
      <c r="C331" s="2" t="s">
        <v>16</v>
      </c>
      <c r="D331" s="3">
        <v>45947</v>
      </c>
      <c r="E331" s="3">
        <v>45951</v>
      </c>
      <c r="F331" s="3">
        <v>45955</v>
      </c>
      <c r="G331" s="3">
        <v>45957</v>
      </c>
      <c r="H331" s="23" t="str">
        <f t="shared" si="5"/>
        <v>Delivered</v>
      </c>
      <c r="I331" s="2" t="s">
        <v>17</v>
      </c>
      <c r="J331" s="24" t="s">
        <v>1054</v>
      </c>
      <c r="K331" s="3">
        <v>45981</v>
      </c>
      <c r="L331" s="2">
        <v>4</v>
      </c>
      <c r="M331" s="2">
        <v>4</v>
      </c>
      <c r="N331" s="2">
        <v>2</v>
      </c>
      <c r="O331" s="36">
        <v>2</v>
      </c>
      <c r="P331" s="24" t="str" cm="1">
        <f t="array" ref="P331">_xlfn.IFS(O331&lt;=6,"Detractors",AND(O331&gt;=7,O331&lt;=8),"Passives",AND(O331&gt;8,O331&lt;=10),"Promoters",O331="Not Available","NA")</f>
        <v>Detractors</v>
      </c>
    </row>
    <row r="332" spans="1:16" ht="14.25" customHeight="1" x14ac:dyDescent="0.3">
      <c r="A332" s="42" t="s">
        <v>358</v>
      </c>
      <c r="B332" s="2" t="s">
        <v>32</v>
      </c>
      <c r="C332" s="2" t="s">
        <v>30</v>
      </c>
      <c r="D332" s="3">
        <v>45951</v>
      </c>
      <c r="E332" s="3">
        <v>45955</v>
      </c>
      <c r="F332" s="3">
        <v>45958</v>
      </c>
      <c r="G332" s="3">
        <v>45963</v>
      </c>
      <c r="H332" s="23" t="str">
        <f t="shared" si="5"/>
        <v>Delivered</v>
      </c>
      <c r="I332" s="2" t="s">
        <v>17</v>
      </c>
      <c r="J332" s="24" t="s">
        <v>1054</v>
      </c>
      <c r="K332" s="3">
        <v>45978</v>
      </c>
      <c r="L332" s="2">
        <v>4</v>
      </c>
      <c r="M332" s="2">
        <v>3</v>
      </c>
      <c r="N332" s="2">
        <v>5</v>
      </c>
      <c r="O332" s="36">
        <v>1</v>
      </c>
      <c r="P332" s="24" t="str" cm="1">
        <f t="array" ref="P332">_xlfn.IFS(O332&lt;=6,"Detractors",AND(O332&gt;=7,O332&lt;=8),"Passives",AND(O332&gt;8,O332&lt;=10),"Promoters",O332="Not Available","NA")</f>
        <v>Detractors</v>
      </c>
    </row>
    <row r="333" spans="1:16" ht="14.25" customHeight="1" x14ac:dyDescent="0.3">
      <c r="A333" s="2" t="s">
        <v>359</v>
      </c>
      <c r="B333" s="2" t="s">
        <v>21</v>
      </c>
      <c r="C333" s="2" t="s">
        <v>16</v>
      </c>
      <c r="D333" s="3">
        <v>45945</v>
      </c>
      <c r="E333" s="3">
        <v>45948</v>
      </c>
      <c r="F333" s="3">
        <v>45949</v>
      </c>
      <c r="G333" s="3">
        <v>45952</v>
      </c>
      <c r="H333" s="23" t="str">
        <f t="shared" si="5"/>
        <v>Delivered</v>
      </c>
      <c r="I333" s="2" t="s">
        <v>17</v>
      </c>
      <c r="J333" s="24" t="s">
        <v>1054</v>
      </c>
      <c r="K333" s="3">
        <v>45967</v>
      </c>
      <c r="L333" s="2">
        <v>3</v>
      </c>
      <c r="M333" s="2">
        <v>1</v>
      </c>
      <c r="N333" s="2">
        <v>3</v>
      </c>
      <c r="O333" s="36">
        <v>0</v>
      </c>
      <c r="P333" s="24" t="str" cm="1">
        <f t="array" ref="P333">_xlfn.IFS(O333&lt;=6,"Detractors",AND(O333&gt;=7,O333&lt;=8),"Passives",AND(O333&gt;8,O333&lt;=10),"Promoters",O333="Not Available","NA")</f>
        <v>Detractors</v>
      </c>
    </row>
    <row r="334" spans="1:16" ht="14.25" customHeight="1" x14ac:dyDescent="0.3">
      <c r="A334" s="42" t="s">
        <v>360</v>
      </c>
      <c r="B334" s="2" t="s">
        <v>15</v>
      </c>
      <c r="C334" s="2" t="s">
        <v>30</v>
      </c>
      <c r="D334" s="3">
        <v>45960</v>
      </c>
      <c r="E334" s="3">
        <v>45965</v>
      </c>
      <c r="F334" s="3">
        <v>45969</v>
      </c>
      <c r="G334" s="3">
        <v>45976</v>
      </c>
      <c r="H334" s="23" t="str">
        <f t="shared" si="5"/>
        <v>Delivered</v>
      </c>
      <c r="I334" s="2" t="s">
        <v>17</v>
      </c>
      <c r="J334" s="24" t="s">
        <v>1054</v>
      </c>
      <c r="K334" s="3">
        <v>45992</v>
      </c>
      <c r="L334" s="2">
        <v>5</v>
      </c>
      <c r="M334" s="2">
        <v>4</v>
      </c>
      <c r="N334" s="2">
        <v>7</v>
      </c>
      <c r="O334" s="36">
        <v>2</v>
      </c>
      <c r="P334" s="24" t="str" cm="1">
        <f t="array" ref="P334">_xlfn.IFS(O334&lt;=6,"Detractors",AND(O334&gt;=7,O334&lt;=8),"Passives",AND(O334&gt;8,O334&lt;=10),"Promoters",O334="Not Available","NA")</f>
        <v>Detractors</v>
      </c>
    </row>
    <row r="335" spans="1:16" ht="14.25" customHeight="1" x14ac:dyDescent="0.3">
      <c r="A335" s="2" t="s">
        <v>361</v>
      </c>
      <c r="B335" s="2" t="s">
        <v>21</v>
      </c>
      <c r="C335" s="2" t="s">
        <v>16</v>
      </c>
      <c r="D335" s="3">
        <v>45939</v>
      </c>
      <c r="E335" s="3">
        <v>45940</v>
      </c>
      <c r="F335" s="3">
        <v>45943</v>
      </c>
      <c r="G335" s="3">
        <v>45946</v>
      </c>
      <c r="H335" s="23" t="str">
        <f t="shared" si="5"/>
        <v>Delivered</v>
      </c>
      <c r="I335" s="2" t="s">
        <v>17</v>
      </c>
      <c r="J335" s="24" t="s">
        <v>1054</v>
      </c>
      <c r="K335" s="3">
        <v>45962</v>
      </c>
      <c r="L335" s="2">
        <v>1</v>
      </c>
      <c r="M335" s="2">
        <v>3</v>
      </c>
      <c r="N335" s="2">
        <v>3</v>
      </c>
      <c r="O335" s="36">
        <v>2</v>
      </c>
      <c r="P335" s="24" t="str" cm="1">
        <f t="array" ref="P335">_xlfn.IFS(O335&lt;=6,"Detractors",AND(O335&gt;=7,O335&lt;=8),"Passives",AND(O335&gt;8,O335&lt;=10),"Promoters",O335="Not Available","NA")</f>
        <v>Detractors</v>
      </c>
    </row>
    <row r="336" spans="1:16" ht="14.25" customHeight="1" x14ac:dyDescent="0.3">
      <c r="A336" s="42" t="s">
        <v>362</v>
      </c>
      <c r="B336" s="2" t="s">
        <v>21</v>
      </c>
      <c r="C336" s="2" t="s">
        <v>30</v>
      </c>
      <c r="D336" s="3">
        <v>45936</v>
      </c>
      <c r="E336" s="3">
        <v>45939</v>
      </c>
      <c r="F336" s="3">
        <v>45940</v>
      </c>
      <c r="G336" s="3">
        <v>45947</v>
      </c>
      <c r="H336" s="23" t="str">
        <f t="shared" si="5"/>
        <v>Delivered</v>
      </c>
      <c r="I336" s="2" t="s">
        <v>17</v>
      </c>
      <c r="J336" s="24" t="s">
        <v>1054</v>
      </c>
      <c r="K336" s="3">
        <v>45961</v>
      </c>
      <c r="L336" s="2">
        <v>3</v>
      </c>
      <c r="M336" s="2">
        <v>1</v>
      </c>
      <c r="N336" s="2">
        <v>7</v>
      </c>
      <c r="O336" s="36">
        <v>1</v>
      </c>
      <c r="P336" s="24" t="str" cm="1">
        <f t="array" ref="P336">_xlfn.IFS(O336&lt;=6,"Detractors",AND(O336&gt;=7,O336&lt;=8),"Passives",AND(O336&gt;8,O336&lt;=10),"Promoters",O336="Not Available","NA")</f>
        <v>Detractors</v>
      </c>
    </row>
    <row r="337" spans="1:16" ht="14.25" customHeight="1" x14ac:dyDescent="0.3">
      <c r="A337" s="2" t="s">
        <v>363</v>
      </c>
      <c r="B337" s="2" t="s">
        <v>21</v>
      </c>
      <c r="C337" s="2" t="s">
        <v>22</v>
      </c>
      <c r="D337" s="3">
        <v>45949</v>
      </c>
      <c r="H337" s="23" t="str">
        <f t="shared" si="5"/>
        <v>Not Delivered</v>
      </c>
      <c r="I337" s="2" t="s">
        <v>23</v>
      </c>
      <c r="J337" s="2" t="s">
        <v>101</v>
      </c>
      <c r="L337">
        <v>0</v>
      </c>
      <c r="M337">
        <v>0</v>
      </c>
      <c r="N337">
        <v>0</v>
      </c>
      <c r="O337" t="s">
        <v>1080</v>
      </c>
      <c r="P337" s="24" t="str" cm="1">
        <f t="array" ref="P337">_xlfn.IFS(O337&lt;=6,"Detractors",AND(O337&gt;=7,O337&lt;=8),"Passives",AND(O337&gt;8,O337&lt;=10),"Promoters",O337="Not Available","NA")</f>
        <v>NA</v>
      </c>
    </row>
    <row r="338" spans="1:16" ht="14.25" customHeight="1" x14ac:dyDescent="0.3">
      <c r="A338" s="42" t="s">
        <v>364</v>
      </c>
      <c r="B338" s="2" t="s">
        <v>21</v>
      </c>
      <c r="C338" s="2" t="s">
        <v>30</v>
      </c>
      <c r="D338" s="3">
        <v>45944</v>
      </c>
      <c r="E338" s="3">
        <v>45945</v>
      </c>
      <c r="F338" s="3">
        <v>45947</v>
      </c>
      <c r="G338" s="3">
        <v>45951</v>
      </c>
      <c r="H338" s="23" t="str">
        <f t="shared" si="5"/>
        <v>Delivered</v>
      </c>
      <c r="I338" s="2" t="s">
        <v>17</v>
      </c>
      <c r="J338" s="24" t="s">
        <v>1054</v>
      </c>
      <c r="K338" s="3">
        <v>45962</v>
      </c>
      <c r="L338" s="2">
        <v>1</v>
      </c>
      <c r="M338" s="2">
        <v>2</v>
      </c>
      <c r="N338" s="2">
        <v>4</v>
      </c>
      <c r="O338" s="36">
        <v>7</v>
      </c>
      <c r="P338" s="24" t="str" cm="1">
        <f t="array" ref="P338">_xlfn.IFS(O338&lt;=6,"Detractors",AND(O338&gt;=7,O338&lt;=8),"Passives",AND(O338&gt;8,O338&lt;=10),"Promoters",O338="Not Available","NA")</f>
        <v>Passives</v>
      </c>
    </row>
    <row r="339" spans="1:16" ht="14.25" customHeight="1" x14ac:dyDescent="0.3">
      <c r="A339" s="2" t="s">
        <v>365</v>
      </c>
      <c r="B339" s="2" t="s">
        <v>32</v>
      </c>
      <c r="C339" s="2" t="s">
        <v>22</v>
      </c>
      <c r="D339" s="3">
        <v>45951</v>
      </c>
      <c r="H339" s="23" t="str">
        <f t="shared" si="5"/>
        <v>Not Delivered</v>
      </c>
      <c r="I339" s="2" t="s">
        <v>23</v>
      </c>
      <c r="J339" s="2" t="s">
        <v>63</v>
      </c>
      <c r="L339">
        <v>0</v>
      </c>
      <c r="M339">
        <v>0</v>
      </c>
      <c r="N339">
        <v>0</v>
      </c>
      <c r="O339" t="s">
        <v>1080</v>
      </c>
      <c r="P339" s="24" t="str" cm="1">
        <f t="array" ref="P339">_xlfn.IFS(O339&lt;=6,"Detractors",AND(O339&gt;=7,O339&lt;=8),"Passives",AND(O339&gt;8,O339&lt;=10),"Promoters",O339="Not Available","NA")</f>
        <v>NA</v>
      </c>
    </row>
    <row r="340" spans="1:16" ht="14.25" customHeight="1" x14ac:dyDescent="0.3">
      <c r="A340" s="2" t="s">
        <v>366</v>
      </c>
      <c r="B340" s="2" t="s">
        <v>15</v>
      </c>
      <c r="C340" s="2" t="s">
        <v>16</v>
      </c>
      <c r="D340" s="3">
        <v>45957</v>
      </c>
      <c r="E340" s="3">
        <v>45960</v>
      </c>
      <c r="F340" s="3">
        <v>45965</v>
      </c>
      <c r="G340" s="3">
        <v>45968</v>
      </c>
      <c r="H340" s="23" t="str">
        <f t="shared" si="5"/>
        <v>Delivered</v>
      </c>
      <c r="I340" s="2" t="s">
        <v>17</v>
      </c>
      <c r="J340" s="24" t="s">
        <v>1054</v>
      </c>
      <c r="K340" s="3">
        <v>45991</v>
      </c>
      <c r="L340" s="2">
        <v>3</v>
      </c>
      <c r="M340" s="2">
        <v>5</v>
      </c>
      <c r="N340" s="2">
        <v>3</v>
      </c>
      <c r="O340" s="36">
        <v>3</v>
      </c>
      <c r="P340" s="24" t="str" cm="1">
        <f t="array" ref="P340">_xlfn.IFS(O340&lt;=6,"Detractors",AND(O340&gt;=7,O340&lt;=8),"Passives",AND(O340&gt;8,O340&lt;=10),"Promoters",O340="Not Available","NA")</f>
        <v>Detractors</v>
      </c>
    </row>
    <row r="341" spans="1:16" ht="14.25" customHeight="1" x14ac:dyDescent="0.3">
      <c r="A341" s="2" t="s">
        <v>367</v>
      </c>
      <c r="B341" s="2" t="s">
        <v>32</v>
      </c>
      <c r="C341" s="2" t="s">
        <v>22</v>
      </c>
      <c r="D341" s="3">
        <v>45946</v>
      </c>
      <c r="H341" s="23" t="str">
        <f t="shared" si="5"/>
        <v>Not Delivered</v>
      </c>
      <c r="I341" s="2" t="s">
        <v>23</v>
      </c>
      <c r="J341" s="2" t="s">
        <v>63</v>
      </c>
      <c r="L341">
        <v>0</v>
      </c>
      <c r="M341">
        <v>0</v>
      </c>
      <c r="N341">
        <v>0</v>
      </c>
      <c r="O341" t="s">
        <v>1080</v>
      </c>
      <c r="P341" s="24" t="str" cm="1">
        <f t="array" ref="P341">_xlfn.IFS(O341&lt;=6,"Detractors",AND(O341&gt;=7,O341&lt;=8),"Passives",AND(O341&gt;8,O341&lt;=10),"Promoters",O341="Not Available","NA")</f>
        <v>NA</v>
      </c>
    </row>
    <row r="342" spans="1:16" ht="14.25" customHeight="1" x14ac:dyDescent="0.3">
      <c r="A342" s="2" t="s">
        <v>368</v>
      </c>
      <c r="B342" s="2" t="s">
        <v>32</v>
      </c>
      <c r="C342" s="2" t="s">
        <v>16</v>
      </c>
      <c r="D342" s="3">
        <v>45933</v>
      </c>
      <c r="E342" s="3">
        <v>45934</v>
      </c>
      <c r="F342" s="3">
        <v>45935</v>
      </c>
      <c r="G342" s="3">
        <v>45939</v>
      </c>
      <c r="H342" s="23" t="str">
        <f t="shared" si="5"/>
        <v>Delivered</v>
      </c>
      <c r="I342" s="2" t="s">
        <v>17</v>
      </c>
      <c r="J342" s="24" t="s">
        <v>1054</v>
      </c>
      <c r="K342" s="3">
        <v>45951</v>
      </c>
      <c r="L342" s="2">
        <v>1</v>
      </c>
      <c r="M342" s="2">
        <v>1</v>
      </c>
      <c r="N342" s="2">
        <v>4</v>
      </c>
      <c r="O342" s="36">
        <v>10</v>
      </c>
      <c r="P342" s="24" t="str" cm="1">
        <f t="array" ref="P342">_xlfn.IFS(O342&lt;=6,"Detractors",AND(O342&gt;=7,O342&lt;=8),"Passives",AND(O342&gt;8,O342&lt;=10),"Promoters",O342="Not Available","NA")</f>
        <v>Promoters</v>
      </c>
    </row>
    <row r="343" spans="1:16" ht="14.25" customHeight="1" x14ac:dyDescent="0.3">
      <c r="A343" s="2" t="s">
        <v>369</v>
      </c>
      <c r="B343" s="2" t="s">
        <v>21</v>
      </c>
      <c r="C343" s="2" t="s">
        <v>16</v>
      </c>
      <c r="D343" s="3">
        <v>45946</v>
      </c>
      <c r="E343" s="3">
        <v>45951</v>
      </c>
      <c r="F343" s="3">
        <v>45952</v>
      </c>
      <c r="G343" s="3">
        <v>45954</v>
      </c>
      <c r="H343" s="23" t="str">
        <f t="shared" si="5"/>
        <v>Delivered</v>
      </c>
      <c r="I343" s="2" t="s">
        <v>17</v>
      </c>
      <c r="J343" s="24" t="s">
        <v>1054</v>
      </c>
      <c r="K343" s="3">
        <v>45977</v>
      </c>
      <c r="L343" s="2">
        <v>5</v>
      </c>
      <c r="M343" s="2">
        <v>1</v>
      </c>
      <c r="N343" s="2">
        <v>2</v>
      </c>
      <c r="O343" s="36">
        <v>1</v>
      </c>
      <c r="P343" s="24" t="str" cm="1">
        <f t="array" ref="P343">_xlfn.IFS(O343&lt;=6,"Detractors",AND(O343&gt;=7,O343&lt;=8),"Passives",AND(O343&gt;8,O343&lt;=10),"Promoters",O343="Not Available","NA")</f>
        <v>Detractors</v>
      </c>
    </row>
    <row r="344" spans="1:16" ht="14.25" customHeight="1" x14ac:dyDescent="0.3">
      <c r="A344" s="2" t="s">
        <v>370</v>
      </c>
      <c r="B344" s="2" t="s">
        <v>19</v>
      </c>
      <c r="C344" s="2" t="s">
        <v>16</v>
      </c>
      <c r="D344" s="3">
        <v>45942</v>
      </c>
      <c r="E344" s="3">
        <v>45946</v>
      </c>
      <c r="F344" s="3">
        <v>45950</v>
      </c>
      <c r="G344" s="3">
        <v>45957</v>
      </c>
      <c r="H344" s="23" t="str">
        <f t="shared" si="5"/>
        <v>Delivered</v>
      </c>
      <c r="I344" s="2" t="s">
        <v>17</v>
      </c>
      <c r="J344" s="24" t="s">
        <v>1054</v>
      </c>
      <c r="K344" s="3">
        <v>45973</v>
      </c>
      <c r="L344" s="2">
        <v>4</v>
      </c>
      <c r="M344" s="2">
        <v>4</v>
      </c>
      <c r="N344" s="2">
        <v>7</v>
      </c>
      <c r="O344" s="36">
        <v>4</v>
      </c>
      <c r="P344" s="24" t="str" cm="1">
        <f t="array" ref="P344">_xlfn.IFS(O344&lt;=6,"Detractors",AND(O344&gt;=7,O344&lt;=8),"Passives",AND(O344&gt;8,O344&lt;=10),"Promoters",O344="Not Available","NA")</f>
        <v>Detractors</v>
      </c>
    </row>
    <row r="345" spans="1:16" ht="14.25" customHeight="1" x14ac:dyDescent="0.3">
      <c r="A345" s="2" t="s">
        <v>371</v>
      </c>
      <c r="B345" s="2" t="s">
        <v>19</v>
      </c>
      <c r="C345" s="2" t="s">
        <v>16</v>
      </c>
      <c r="D345" s="3">
        <v>45944</v>
      </c>
      <c r="E345" s="3">
        <v>45947</v>
      </c>
      <c r="F345" s="3">
        <v>45950</v>
      </c>
      <c r="G345" s="3">
        <v>45954</v>
      </c>
      <c r="H345" s="23" t="str">
        <f t="shared" si="5"/>
        <v>Delivered</v>
      </c>
      <c r="I345" s="2" t="s">
        <v>17</v>
      </c>
      <c r="J345" s="24" t="s">
        <v>1054</v>
      </c>
      <c r="K345" s="3">
        <v>45984</v>
      </c>
      <c r="L345" s="2">
        <v>3</v>
      </c>
      <c r="M345" s="2">
        <v>3</v>
      </c>
      <c r="N345" s="2">
        <v>4</v>
      </c>
      <c r="O345" s="36">
        <v>8</v>
      </c>
      <c r="P345" s="24" t="str" cm="1">
        <f t="array" ref="P345">_xlfn.IFS(O345&lt;=6,"Detractors",AND(O345&gt;=7,O345&lt;=8),"Passives",AND(O345&gt;8,O345&lt;=10),"Promoters",O345="Not Available","NA")</f>
        <v>Passives</v>
      </c>
    </row>
    <row r="346" spans="1:16" ht="14.25" customHeight="1" x14ac:dyDescent="0.3">
      <c r="A346" s="2" t="s">
        <v>372</v>
      </c>
      <c r="B346" s="2" t="s">
        <v>32</v>
      </c>
      <c r="C346" s="2" t="s">
        <v>16</v>
      </c>
      <c r="D346" s="3">
        <v>45941</v>
      </c>
      <c r="E346" s="3">
        <v>45944</v>
      </c>
      <c r="F346" s="3">
        <v>45945</v>
      </c>
      <c r="G346" s="3">
        <v>45949</v>
      </c>
      <c r="H346" s="23" t="str">
        <f t="shared" si="5"/>
        <v>Delivered</v>
      </c>
      <c r="I346" s="2" t="s">
        <v>17</v>
      </c>
      <c r="J346" s="24" t="s">
        <v>1054</v>
      </c>
      <c r="K346" s="3">
        <v>45963</v>
      </c>
      <c r="L346" s="2">
        <v>3</v>
      </c>
      <c r="M346" s="2">
        <v>1</v>
      </c>
      <c r="N346" s="2">
        <v>4</v>
      </c>
      <c r="O346" s="36">
        <v>3</v>
      </c>
      <c r="P346" s="24" t="str" cm="1">
        <f t="array" ref="P346">_xlfn.IFS(O346&lt;=6,"Detractors",AND(O346&gt;=7,O346&lt;=8),"Passives",AND(O346&gt;8,O346&lt;=10),"Promoters",O346="Not Available","NA")</f>
        <v>Detractors</v>
      </c>
    </row>
    <row r="347" spans="1:16" ht="14.25" customHeight="1" x14ac:dyDescent="0.3">
      <c r="A347" s="2" t="s">
        <v>373</v>
      </c>
      <c r="B347" s="2" t="s">
        <v>32</v>
      </c>
      <c r="C347" s="2" t="s">
        <v>16</v>
      </c>
      <c r="D347" s="3">
        <v>45941</v>
      </c>
      <c r="E347" s="3">
        <v>45946</v>
      </c>
      <c r="F347" s="3">
        <v>45951</v>
      </c>
      <c r="G347" s="3">
        <v>45953</v>
      </c>
      <c r="H347" s="23" t="str">
        <f t="shared" si="5"/>
        <v>Delivered</v>
      </c>
      <c r="I347" s="2" t="s">
        <v>17</v>
      </c>
      <c r="J347" s="24" t="s">
        <v>1054</v>
      </c>
      <c r="K347" s="3">
        <v>45982</v>
      </c>
      <c r="L347" s="2">
        <v>5</v>
      </c>
      <c r="M347" s="2">
        <v>5</v>
      </c>
      <c r="N347" s="2">
        <v>2</v>
      </c>
      <c r="O347" s="36">
        <v>6</v>
      </c>
      <c r="P347" s="24" t="str" cm="1">
        <f t="array" ref="P347">_xlfn.IFS(O347&lt;=6,"Detractors",AND(O347&gt;=7,O347&lt;=8),"Passives",AND(O347&gt;8,O347&lt;=10),"Promoters",O347="Not Available","NA")</f>
        <v>Detractors</v>
      </c>
    </row>
    <row r="348" spans="1:16" ht="14.25" customHeight="1" x14ac:dyDescent="0.3">
      <c r="A348" s="2" t="s">
        <v>374</v>
      </c>
      <c r="B348" s="2" t="s">
        <v>21</v>
      </c>
      <c r="C348" s="2" t="s">
        <v>16</v>
      </c>
      <c r="D348" s="3">
        <v>45952</v>
      </c>
      <c r="E348" s="3">
        <v>45954</v>
      </c>
      <c r="F348" s="3">
        <v>45955</v>
      </c>
      <c r="G348" s="3">
        <v>45959</v>
      </c>
      <c r="H348" s="23" t="str">
        <f t="shared" si="5"/>
        <v>Delivered</v>
      </c>
      <c r="I348" s="2" t="s">
        <v>17</v>
      </c>
      <c r="J348" s="24" t="s">
        <v>1054</v>
      </c>
      <c r="K348" s="3">
        <v>45977</v>
      </c>
      <c r="L348" s="2">
        <v>2</v>
      </c>
      <c r="M348" s="2">
        <v>1</v>
      </c>
      <c r="N348" s="2">
        <v>4</v>
      </c>
      <c r="O348" s="36">
        <v>4</v>
      </c>
      <c r="P348" s="24" t="str" cm="1">
        <f t="array" ref="P348">_xlfn.IFS(O348&lt;=6,"Detractors",AND(O348&gt;=7,O348&lt;=8),"Passives",AND(O348&gt;8,O348&lt;=10),"Promoters",O348="Not Available","NA")</f>
        <v>Detractors</v>
      </c>
    </row>
    <row r="349" spans="1:16" ht="14.25" customHeight="1" x14ac:dyDescent="0.3">
      <c r="A349" s="42" t="s">
        <v>375</v>
      </c>
      <c r="B349" s="2" t="s">
        <v>32</v>
      </c>
      <c r="C349" s="2" t="s">
        <v>30</v>
      </c>
      <c r="D349" s="3">
        <v>45934</v>
      </c>
      <c r="E349" s="3">
        <v>45937</v>
      </c>
      <c r="F349" s="3">
        <v>45938</v>
      </c>
      <c r="G349" s="3">
        <v>45945</v>
      </c>
      <c r="H349" s="23" t="str">
        <f t="shared" si="5"/>
        <v>Delivered</v>
      </c>
      <c r="I349" s="2" t="s">
        <v>17</v>
      </c>
      <c r="J349" s="24" t="s">
        <v>1054</v>
      </c>
      <c r="K349" s="3">
        <v>45965</v>
      </c>
      <c r="L349" s="2">
        <v>3</v>
      </c>
      <c r="M349" s="2">
        <v>1</v>
      </c>
      <c r="N349" s="2">
        <v>7</v>
      </c>
      <c r="O349" s="36">
        <v>8</v>
      </c>
      <c r="P349" s="24" t="str" cm="1">
        <f t="array" ref="P349">_xlfn.IFS(O349&lt;=6,"Detractors",AND(O349&gt;=7,O349&lt;=8),"Passives",AND(O349&gt;8,O349&lt;=10),"Promoters",O349="Not Available","NA")</f>
        <v>Passives</v>
      </c>
    </row>
    <row r="350" spans="1:16" ht="14.25" customHeight="1" x14ac:dyDescent="0.3">
      <c r="A350" s="2" t="s">
        <v>376</v>
      </c>
      <c r="B350" s="2" t="s">
        <v>21</v>
      </c>
      <c r="C350" s="2" t="s">
        <v>16</v>
      </c>
      <c r="D350" s="3">
        <v>45958</v>
      </c>
      <c r="E350" s="3">
        <v>45959</v>
      </c>
      <c r="F350" s="3">
        <v>45963</v>
      </c>
      <c r="G350" s="3">
        <v>45970</v>
      </c>
      <c r="H350" s="23" t="str">
        <f t="shared" si="5"/>
        <v>Delivered</v>
      </c>
      <c r="I350" s="2" t="s">
        <v>17</v>
      </c>
      <c r="J350" s="24" t="s">
        <v>1054</v>
      </c>
      <c r="K350" s="3">
        <v>45982</v>
      </c>
      <c r="L350" s="2">
        <v>1</v>
      </c>
      <c r="M350" s="2">
        <v>4</v>
      </c>
      <c r="N350" s="2">
        <v>7</v>
      </c>
      <c r="O350" s="36">
        <v>4</v>
      </c>
      <c r="P350" s="24" t="str" cm="1">
        <f t="array" ref="P350">_xlfn.IFS(O350&lt;=6,"Detractors",AND(O350&gt;=7,O350&lt;=8),"Passives",AND(O350&gt;8,O350&lt;=10),"Promoters",O350="Not Available","NA")</f>
        <v>Detractors</v>
      </c>
    </row>
    <row r="351" spans="1:16" ht="14.25" customHeight="1" x14ac:dyDescent="0.3">
      <c r="A351" s="2" t="s">
        <v>377</v>
      </c>
      <c r="B351" s="2" t="s">
        <v>19</v>
      </c>
      <c r="C351" s="2" t="s">
        <v>16</v>
      </c>
      <c r="D351" s="3">
        <v>45936</v>
      </c>
      <c r="E351" s="3">
        <v>45941</v>
      </c>
      <c r="F351" s="3">
        <v>45942</v>
      </c>
      <c r="G351" s="3">
        <v>45945</v>
      </c>
      <c r="H351" s="23" t="str">
        <f t="shared" si="5"/>
        <v>Delivered</v>
      </c>
      <c r="I351" s="2" t="s">
        <v>17</v>
      </c>
      <c r="J351" s="24" t="s">
        <v>1054</v>
      </c>
      <c r="K351" s="3">
        <v>45957</v>
      </c>
      <c r="L351" s="2">
        <v>5</v>
      </c>
      <c r="M351" s="2">
        <v>1</v>
      </c>
      <c r="N351" s="2">
        <v>3</v>
      </c>
      <c r="O351" s="36">
        <v>6</v>
      </c>
      <c r="P351" s="24" t="str" cm="1">
        <f t="array" ref="P351">_xlfn.IFS(O351&lt;=6,"Detractors",AND(O351&gt;=7,O351&lt;=8),"Passives",AND(O351&gt;8,O351&lt;=10),"Promoters",O351="Not Available","NA")</f>
        <v>Detractors</v>
      </c>
    </row>
    <row r="352" spans="1:16" ht="14.25" customHeight="1" x14ac:dyDescent="0.3">
      <c r="A352" s="2" t="s">
        <v>378</v>
      </c>
      <c r="B352" s="2" t="s">
        <v>19</v>
      </c>
      <c r="C352" s="2" t="s">
        <v>16</v>
      </c>
      <c r="D352" s="3">
        <v>45941</v>
      </c>
      <c r="E352" s="3">
        <v>45943</v>
      </c>
      <c r="F352" s="3">
        <v>45946</v>
      </c>
      <c r="G352" s="3">
        <v>45948</v>
      </c>
      <c r="H352" s="23" t="str">
        <f t="shared" si="5"/>
        <v>Delivered</v>
      </c>
      <c r="I352" s="2" t="s">
        <v>23</v>
      </c>
      <c r="J352" s="2" t="s">
        <v>24</v>
      </c>
      <c r="L352" s="2">
        <v>2</v>
      </c>
      <c r="M352" s="2">
        <v>3</v>
      </c>
      <c r="N352" s="2">
        <v>2</v>
      </c>
      <c r="O352" t="s">
        <v>1080</v>
      </c>
      <c r="P352" s="24" t="str" cm="1">
        <f t="array" ref="P352">_xlfn.IFS(O352&lt;=6,"Detractors",AND(O352&gt;=7,O352&lt;=8),"Passives",AND(O352&gt;8,O352&lt;=10),"Promoters",O352="Not Available","NA")</f>
        <v>NA</v>
      </c>
    </row>
    <row r="353" spans="1:16" ht="14.25" customHeight="1" x14ac:dyDescent="0.3">
      <c r="A353" s="2" t="s">
        <v>379</v>
      </c>
      <c r="B353" s="2" t="s">
        <v>15</v>
      </c>
      <c r="C353" s="2" t="s">
        <v>16</v>
      </c>
      <c r="D353" s="3">
        <v>45944</v>
      </c>
      <c r="E353" s="3">
        <v>45947</v>
      </c>
      <c r="F353" s="3">
        <v>45951</v>
      </c>
      <c r="G353" s="3">
        <v>45956</v>
      </c>
      <c r="H353" s="23" t="str">
        <f t="shared" si="5"/>
        <v>Delivered</v>
      </c>
      <c r="I353" s="2" t="s">
        <v>23</v>
      </c>
      <c r="J353" s="2" t="s">
        <v>33</v>
      </c>
      <c r="L353" s="2">
        <v>3</v>
      </c>
      <c r="M353" s="2">
        <v>4</v>
      </c>
      <c r="N353" s="2">
        <v>5</v>
      </c>
      <c r="O353" t="s">
        <v>1080</v>
      </c>
      <c r="P353" s="24" t="str" cm="1">
        <f t="array" ref="P353">_xlfn.IFS(O353&lt;=6,"Detractors",AND(O353&gt;=7,O353&lt;=8),"Passives",AND(O353&gt;8,O353&lt;=10),"Promoters",O353="Not Available","NA")</f>
        <v>NA</v>
      </c>
    </row>
    <row r="354" spans="1:16" ht="14.25" customHeight="1" x14ac:dyDescent="0.3">
      <c r="A354" s="2" t="s">
        <v>380</v>
      </c>
      <c r="B354" s="2" t="s">
        <v>19</v>
      </c>
      <c r="C354" s="2" t="s">
        <v>16</v>
      </c>
      <c r="D354" s="3">
        <v>45953</v>
      </c>
      <c r="E354" s="3">
        <v>45956</v>
      </c>
      <c r="F354" s="3">
        <v>45958</v>
      </c>
      <c r="G354" s="3">
        <v>45965</v>
      </c>
      <c r="H354" s="23" t="str">
        <f t="shared" si="5"/>
        <v>Delivered</v>
      </c>
      <c r="I354" s="2" t="s">
        <v>17</v>
      </c>
      <c r="J354" s="24" t="s">
        <v>1054</v>
      </c>
      <c r="K354" s="3">
        <v>45987</v>
      </c>
      <c r="L354" s="2">
        <v>3</v>
      </c>
      <c r="M354" s="2">
        <v>2</v>
      </c>
      <c r="N354" s="2">
        <v>7</v>
      </c>
      <c r="O354" s="36">
        <v>5</v>
      </c>
      <c r="P354" s="24" t="str" cm="1">
        <f t="array" ref="P354">_xlfn.IFS(O354&lt;=6,"Detractors",AND(O354&gt;=7,O354&lt;=8),"Passives",AND(O354&gt;8,O354&lt;=10),"Promoters",O354="Not Available","NA")</f>
        <v>Detractors</v>
      </c>
    </row>
    <row r="355" spans="1:16" ht="14.25" customHeight="1" x14ac:dyDescent="0.3">
      <c r="A355" s="2" t="s">
        <v>381</v>
      </c>
      <c r="B355" s="2" t="s">
        <v>32</v>
      </c>
      <c r="C355" s="2" t="s">
        <v>22</v>
      </c>
      <c r="D355" s="3">
        <v>45946</v>
      </c>
      <c r="H355" s="23" t="str">
        <f t="shared" si="5"/>
        <v>Not Delivered</v>
      </c>
      <c r="I355" s="2" t="s">
        <v>23</v>
      </c>
      <c r="J355" s="2" t="s">
        <v>26</v>
      </c>
      <c r="L355">
        <v>0</v>
      </c>
      <c r="M355">
        <v>0</v>
      </c>
      <c r="N355">
        <v>0</v>
      </c>
      <c r="O355" t="s">
        <v>1080</v>
      </c>
      <c r="P355" s="24" t="str" cm="1">
        <f t="array" ref="P355">_xlfn.IFS(O355&lt;=6,"Detractors",AND(O355&gt;=7,O355&lt;=8),"Passives",AND(O355&gt;8,O355&lt;=10),"Promoters",O355="Not Available","NA")</f>
        <v>NA</v>
      </c>
    </row>
    <row r="356" spans="1:16" ht="14.25" customHeight="1" x14ac:dyDescent="0.3">
      <c r="A356" s="42" t="s">
        <v>382</v>
      </c>
      <c r="B356" s="2" t="s">
        <v>19</v>
      </c>
      <c r="C356" s="2" t="s">
        <v>30</v>
      </c>
      <c r="D356" s="3">
        <v>45940</v>
      </c>
      <c r="E356" s="3">
        <v>45944</v>
      </c>
      <c r="F356" s="3">
        <v>45946</v>
      </c>
      <c r="G356" s="3">
        <v>45950</v>
      </c>
      <c r="H356" s="23" t="str">
        <f t="shared" si="5"/>
        <v>Delivered</v>
      </c>
      <c r="I356" s="2" t="s">
        <v>17</v>
      </c>
      <c r="J356" s="24" t="s">
        <v>1054</v>
      </c>
      <c r="K356" s="3">
        <v>45977</v>
      </c>
      <c r="L356" s="2">
        <v>4</v>
      </c>
      <c r="M356" s="2">
        <v>2</v>
      </c>
      <c r="N356" s="2">
        <v>4</v>
      </c>
      <c r="O356" s="36">
        <v>2</v>
      </c>
      <c r="P356" s="24" t="str" cm="1">
        <f t="array" ref="P356">_xlfn.IFS(O356&lt;=6,"Detractors",AND(O356&gt;=7,O356&lt;=8),"Passives",AND(O356&gt;8,O356&lt;=10),"Promoters",O356="Not Available","NA")</f>
        <v>Detractors</v>
      </c>
    </row>
    <row r="357" spans="1:16" ht="14.25" customHeight="1" x14ac:dyDescent="0.3">
      <c r="A357" s="2" t="s">
        <v>383</v>
      </c>
      <c r="B357" s="2" t="s">
        <v>21</v>
      </c>
      <c r="C357" s="2" t="s">
        <v>16</v>
      </c>
      <c r="D357" s="3">
        <v>45952</v>
      </c>
      <c r="E357" s="3">
        <v>45954</v>
      </c>
      <c r="F357" s="3">
        <v>45958</v>
      </c>
      <c r="G357" s="3">
        <v>45965</v>
      </c>
      <c r="H357" s="23" t="str">
        <f t="shared" si="5"/>
        <v>Delivered</v>
      </c>
      <c r="I357" s="2" t="s">
        <v>17</v>
      </c>
      <c r="J357" s="24" t="s">
        <v>1054</v>
      </c>
      <c r="K357" s="3">
        <v>45987</v>
      </c>
      <c r="L357" s="2">
        <v>2</v>
      </c>
      <c r="M357" s="2">
        <v>4</v>
      </c>
      <c r="N357" s="2">
        <v>7</v>
      </c>
      <c r="O357" s="36">
        <v>3</v>
      </c>
      <c r="P357" s="24" t="str" cm="1">
        <f t="array" ref="P357">_xlfn.IFS(O357&lt;=6,"Detractors",AND(O357&gt;=7,O357&lt;=8),"Passives",AND(O357&gt;8,O357&lt;=10),"Promoters",O357="Not Available","NA")</f>
        <v>Detractors</v>
      </c>
    </row>
    <row r="358" spans="1:16" ht="14.25" customHeight="1" x14ac:dyDescent="0.3">
      <c r="A358" s="2" t="s">
        <v>384</v>
      </c>
      <c r="B358" s="2" t="s">
        <v>19</v>
      </c>
      <c r="C358" s="2" t="s">
        <v>16</v>
      </c>
      <c r="D358" s="3">
        <v>45961</v>
      </c>
      <c r="E358" s="3">
        <v>45966</v>
      </c>
      <c r="F358" s="3">
        <v>45969</v>
      </c>
      <c r="G358" s="3">
        <v>45976</v>
      </c>
      <c r="H358" s="23" t="str">
        <f t="shared" si="5"/>
        <v>Delivered</v>
      </c>
      <c r="I358" s="2" t="s">
        <v>17</v>
      </c>
      <c r="J358" s="24" t="s">
        <v>1054</v>
      </c>
      <c r="K358" s="3">
        <v>46003</v>
      </c>
      <c r="L358" s="2">
        <v>5</v>
      </c>
      <c r="M358" s="2">
        <v>3</v>
      </c>
      <c r="N358" s="2">
        <v>7</v>
      </c>
      <c r="O358" s="36">
        <v>10</v>
      </c>
      <c r="P358" s="24" t="str" cm="1">
        <f t="array" ref="P358">_xlfn.IFS(O358&lt;=6,"Detractors",AND(O358&gt;=7,O358&lt;=8),"Passives",AND(O358&gt;8,O358&lt;=10),"Promoters",O358="Not Available","NA")</f>
        <v>Promoters</v>
      </c>
    </row>
    <row r="359" spans="1:16" ht="14.25" customHeight="1" x14ac:dyDescent="0.3">
      <c r="A359" s="2" t="s">
        <v>385</v>
      </c>
      <c r="B359" s="2" t="s">
        <v>15</v>
      </c>
      <c r="C359" s="2" t="s">
        <v>16</v>
      </c>
      <c r="D359" s="3">
        <v>45943</v>
      </c>
      <c r="E359" s="3">
        <v>45944</v>
      </c>
      <c r="F359" s="3">
        <v>45948</v>
      </c>
      <c r="G359" s="3">
        <v>45951</v>
      </c>
      <c r="H359" s="23" t="str">
        <f t="shared" si="5"/>
        <v>Delivered</v>
      </c>
      <c r="I359" s="2" t="s">
        <v>17</v>
      </c>
      <c r="J359" s="24" t="s">
        <v>1054</v>
      </c>
      <c r="K359" s="3">
        <v>45971</v>
      </c>
      <c r="L359" s="2">
        <v>1</v>
      </c>
      <c r="M359" s="2">
        <v>4</v>
      </c>
      <c r="N359" s="2">
        <v>3</v>
      </c>
      <c r="O359" s="36">
        <v>3</v>
      </c>
      <c r="P359" s="24" t="str" cm="1">
        <f t="array" ref="P359">_xlfn.IFS(O359&lt;=6,"Detractors",AND(O359&gt;=7,O359&lt;=8),"Passives",AND(O359&gt;8,O359&lt;=10),"Promoters",O359="Not Available","NA")</f>
        <v>Detractors</v>
      </c>
    </row>
    <row r="360" spans="1:16" ht="14.25" customHeight="1" x14ac:dyDescent="0.3">
      <c r="A360" s="2" t="s">
        <v>386</v>
      </c>
      <c r="B360" s="2" t="s">
        <v>19</v>
      </c>
      <c r="C360" s="2" t="s">
        <v>22</v>
      </c>
      <c r="D360" s="3">
        <v>45957</v>
      </c>
      <c r="H360" s="23" t="str">
        <f t="shared" si="5"/>
        <v>Not Delivered</v>
      </c>
      <c r="I360" s="2" t="s">
        <v>23</v>
      </c>
      <c r="J360" s="2" t="s">
        <v>24</v>
      </c>
      <c r="L360">
        <v>0</v>
      </c>
      <c r="M360">
        <v>0</v>
      </c>
      <c r="N360">
        <v>0</v>
      </c>
      <c r="O360" t="s">
        <v>1080</v>
      </c>
      <c r="P360" s="24" t="str" cm="1">
        <f t="array" ref="P360">_xlfn.IFS(O360&lt;=6,"Detractors",AND(O360&gt;=7,O360&lt;=8),"Passives",AND(O360&gt;8,O360&lt;=10),"Promoters",O360="Not Available","NA")</f>
        <v>NA</v>
      </c>
    </row>
    <row r="361" spans="1:16" ht="14.25" customHeight="1" x14ac:dyDescent="0.3">
      <c r="A361" s="42" t="s">
        <v>387</v>
      </c>
      <c r="B361" s="2" t="s">
        <v>21</v>
      </c>
      <c r="C361" s="2" t="s">
        <v>30</v>
      </c>
      <c r="D361" s="3">
        <v>45955</v>
      </c>
      <c r="E361" s="3">
        <v>45958</v>
      </c>
      <c r="F361" s="3">
        <v>45962</v>
      </c>
      <c r="G361" s="3">
        <v>45967</v>
      </c>
      <c r="H361" s="23" t="str">
        <f t="shared" si="5"/>
        <v>Delivered</v>
      </c>
      <c r="I361" s="2" t="s">
        <v>17</v>
      </c>
      <c r="J361" s="24" t="s">
        <v>1054</v>
      </c>
      <c r="K361" s="3">
        <v>45985</v>
      </c>
      <c r="L361" s="2">
        <v>3</v>
      </c>
      <c r="M361" s="2">
        <v>4</v>
      </c>
      <c r="N361" s="2">
        <v>5</v>
      </c>
      <c r="O361" s="36">
        <v>5</v>
      </c>
      <c r="P361" s="24" t="str" cm="1">
        <f t="array" ref="P361">_xlfn.IFS(O361&lt;=6,"Detractors",AND(O361&gt;=7,O361&lt;=8),"Passives",AND(O361&gt;8,O361&lt;=10),"Promoters",O361="Not Available","NA")</f>
        <v>Detractors</v>
      </c>
    </row>
    <row r="362" spans="1:16" ht="14.25" customHeight="1" x14ac:dyDescent="0.3">
      <c r="A362" s="2" t="s">
        <v>388</v>
      </c>
      <c r="B362" s="2" t="s">
        <v>21</v>
      </c>
      <c r="C362" s="2" t="s">
        <v>16</v>
      </c>
      <c r="D362" s="3">
        <v>45948</v>
      </c>
      <c r="E362" s="3">
        <v>45953</v>
      </c>
      <c r="F362" s="3">
        <v>45957</v>
      </c>
      <c r="G362" s="3">
        <v>45964</v>
      </c>
      <c r="H362" s="23" t="str">
        <f t="shared" si="5"/>
        <v>Delivered</v>
      </c>
      <c r="I362" s="2" t="s">
        <v>17</v>
      </c>
      <c r="J362" s="24" t="s">
        <v>1054</v>
      </c>
      <c r="K362" s="3">
        <v>45990</v>
      </c>
      <c r="L362" s="2">
        <v>5</v>
      </c>
      <c r="M362" s="2">
        <v>4</v>
      </c>
      <c r="N362" s="2">
        <v>7</v>
      </c>
      <c r="O362" s="36">
        <v>8</v>
      </c>
      <c r="P362" s="24" t="str" cm="1">
        <f t="array" ref="P362">_xlfn.IFS(O362&lt;=6,"Detractors",AND(O362&gt;=7,O362&lt;=8),"Passives",AND(O362&gt;8,O362&lt;=10),"Promoters",O362="Not Available","NA")</f>
        <v>Passives</v>
      </c>
    </row>
    <row r="363" spans="1:16" ht="14.25" customHeight="1" x14ac:dyDescent="0.3">
      <c r="A363" s="2" t="s">
        <v>389</v>
      </c>
      <c r="B363" s="2" t="s">
        <v>32</v>
      </c>
      <c r="C363" s="2" t="s">
        <v>16</v>
      </c>
      <c r="D363" s="3">
        <v>45932</v>
      </c>
      <c r="E363" s="3">
        <v>45936</v>
      </c>
      <c r="F363" s="3">
        <v>45940</v>
      </c>
      <c r="G363" s="3">
        <v>45942</v>
      </c>
      <c r="H363" s="23" t="str">
        <f t="shared" si="5"/>
        <v>Delivered</v>
      </c>
      <c r="I363" s="2" t="s">
        <v>17</v>
      </c>
      <c r="J363" s="24" t="s">
        <v>1054</v>
      </c>
      <c r="K363" s="3">
        <v>45966</v>
      </c>
      <c r="L363" s="2">
        <v>4</v>
      </c>
      <c r="M363" s="2">
        <v>4</v>
      </c>
      <c r="N363" s="2">
        <v>2</v>
      </c>
      <c r="O363" s="36">
        <v>0</v>
      </c>
      <c r="P363" s="24" t="str" cm="1">
        <f t="array" ref="P363">_xlfn.IFS(O363&lt;=6,"Detractors",AND(O363&gt;=7,O363&lt;=8),"Passives",AND(O363&gt;8,O363&lt;=10),"Promoters",O363="Not Available","NA")</f>
        <v>Detractors</v>
      </c>
    </row>
    <row r="364" spans="1:16" ht="14.25" customHeight="1" x14ac:dyDescent="0.3">
      <c r="A364" s="2" t="s">
        <v>390</v>
      </c>
      <c r="B364" s="2" t="s">
        <v>19</v>
      </c>
      <c r="C364" s="2" t="s">
        <v>16</v>
      </c>
      <c r="D364" s="3">
        <v>45945</v>
      </c>
      <c r="E364" s="3">
        <v>45948</v>
      </c>
      <c r="F364" s="3">
        <v>45949</v>
      </c>
      <c r="G364" s="3">
        <v>45956</v>
      </c>
      <c r="H364" s="23" t="str">
        <f t="shared" si="5"/>
        <v>Delivered</v>
      </c>
      <c r="I364" s="2" t="s">
        <v>17</v>
      </c>
      <c r="J364" s="24" t="s">
        <v>1054</v>
      </c>
      <c r="K364" s="3">
        <v>45966</v>
      </c>
      <c r="L364" s="2">
        <v>3</v>
      </c>
      <c r="M364" s="2">
        <v>1</v>
      </c>
      <c r="N364" s="2">
        <v>7</v>
      </c>
      <c r="O364" s="36">
        <v>1</v>
      </c>
      <c r="P364" s="24" t="str" cm="1">
        <f t="array" ref="P364">_xlfn.IFS(O364&lt;=6,"Detractors",AND(O364&gt;=7,O364&lt;=8),"Passives",AND(O364&gt;8,O364&lt;=10),"Promoters",O364="Not Available","NA")</f>
        <v>Detractors</v>
      </c>
    </row>
    <row r="365" spans="1:16" ht="14.25" customHeight="1" x14ac:dyDescent="0.3">
      <c r="A365" s="2" t="s">
        <v>391</v>
      </c>
      <c r="B365" s="2" t="s">
        <v>21</v>
      </c>
      <c r="C365" s="2" t="s">
        <v>16</v>
      </c>
      <c r="D365" s="3">
        <v>45933</v>
      </c>
      <c r="E365" s="3">
        <v>45935</v>
      </c>
      <c r="F365" s="3">
        <v>45940</v>
      </c>
      <c r="G365" s="3">
        <v>45942</v>
      </c>
      <c r="H365" s="23" t="str">
        <f t="shared" si="5"/>
        <v>Delivered</v>
      </c>
      <c r="I365" s="2" t="s">
        <v>17</v>
      </c>
      <c r="J365" s="24" t="s">
        <v>1054</v>
      </c>
      <c r="K365" s="3">
        <v>45971</v>
      </c>
      <c r="L365" s="2">
        <v>2</v>
      </c>
      <c r="M365" s="2">
        <v>5</v>
      </c>
      <c r="N365" s="2">
        <v>2</v>
      </c>
      <c r="O365" s="36">
        <v>4</v>
      </c>
      <c r="P365" s="24" t="str" cm="1">
        <f t="array" ref="P365">_xlfn.IFS(O365&lt;=6,"Detractors",AND(O365&gt;=7,O365&lt;=8),"Passives",AND(O365&gt;8,O365&lt;=10),"Promoters",O365="Not Available","NA")</f>
        <v>Detractors</v>
      </c>
    </row>
    <row r="366" spans="1:16" ht="14.25" customHeight="1" x14ac:dyDescent="0.3">
      <c r="A366" s="2" t="s">
        <v>392</v>
      </c>
      <c r="B366" s="2" t="s">
        <v>15</v>
      </c>
      <c r="C366" s="2" t="s">
        <v>16</v>
      </c>
      <c r="D366" s="3">
        <v>45941</v>
      </c>
      <c r="E366" s="3">
        <v>45946</v>
      </c>
      <c r="F366" s="3">
        <v>45948</v>
      </c>
      <c r="G366" s="3">
        <v>45950</v>
      </c>
      <c r="H366" s="23" t="str">
        <f t="shared" si="5"/>
        <v>Delivered</v>
      </c>
      <c r="I366" s="2" t="s">
        <v>17</v>
      </c>
      <c r="J366" s="24" t="s">
        <v>1054</v>
      </c>
      <c r="K366" s="3">
        <v>45978</v>
      </c>
      <c r="L366" s="2">
        <v>5</v>
      </c>
      <c r="M366" s="2">
        <v>2</v>
      </c>
      <c r="N366" s="2">
        <v>2</v>
      </c>
      <c r="O366" s="36">
        <v>5</v>
      </c>
      <c r="P366" s="24" t="str" cm="1">
        <f t="array" ref="P366">_xlfn.IFS(O366&lt;=6,"Detractors",AND(O366&gt;=7,O366&lt;=8),"Passives",AND(O366&gt;8,O366&lt;=10),"Promoters",O366="Not Available","NA")</f>
        <v>Detractors</v>
      </c>
    </row>
    <row r="367" spans="1:16" ht="14.25" customHeight="1" x14ac:dyDescent="0.3">
      <c r="A367" s="2" t="s">
        <v>393</v>
      </c>
      <c r="B367" s="2" t="s">
        <v>32</v>
      </c>
      <c r="C367" s="2" t="s">
        <v>16</v>
      </c>
      <c r="D367" s="3">
        <v>45939</v>
      </c>
      <c r="E367" s="3">
        <v>45940</v>
      </c>
      <c r="F367" s="3">
        <v>45943</v>
      </c>
      <c r="G367" s="3">
        <v>45946</v>
      </c>
      <c r="H367" s="23" t="str">
        <f t="shared" si="5"/>
        <v>Delivered</v>
      </c>
      <c r="I367" s="2" t="s">
        <v>17</v>
      </c>
      <c r="J367" s="24" t="s">
        <v>1054</v>
      </c>
      <c r="K367" s="3">
        <v>45972</v>
      </c>
      <c r="L367" s="2">
        <v>1</v>
      </c>
      <c r="M367" s="2">
        <v>3</v>
      </c>
      <c r="N367" s="2">
        <v>3</v>
      </c>
      <c r="O367" s="36">
        <v>10</v>
      </c>
      <c r="P367" s="24" t="str" cm="1">
        <f t="array" ref="P367">_xlfn.IFS(O367&lt;=6,"Detractors",AND(O367&gt;=7,O367&lt;=8),"Passives",AND(O367&gt;8,O367&lt;=10),"Promoters",O367="Not Available","NA")</f>
        <v>Promoters</v>
      </c>
    </row>
    <row r="368" spans="1:16" ht="14.25" customHeight="1" x14ac:dyDescent="0.3">
      <c r="A368" s="2" t="s">
        <v>394</v>
      </c>
      <c r="B368" s="2" t="s">
        <v>15</v>
      </c>
      <c r="C368" s="2" t="s">
        <v>16</v>
      </c>
      <c r="D368" s="3">
        <v>45941</v>
      </c>
      <c r="E368" s="3">
        <v>45945</v>
      </c>
      <c r="F368" s="3">
        <v>45946</v>
      </c>
      <c r="G368" s="3">
        <v>45951</v>
      </c>
      <c r="H368" s="23" t="str">
        <f t="shared" si="5"/>
        <v>Delivered</v>
      </c>
      <c r="I368" s="2" t="s">
        <v>17</v>
      </c>
      <c r="J368" s="24" t="s">
        <v>1054</v>
      </c>
      <c r="K368" s="3">
        <v>45974</v>
      </c>
      <c r="L368" s="2">
        <v>4</v>
      </c>
      <c r="M368" s="2">
        <v>1</v>
      </c>
      <c r="N368" s="2">
        <v>5</v>
      </c>
      <c r="O368" s="36">
        <v>3</v>
      </c>
      <c r="P368" s="24" t="str" cm="1">
        <f t="array" ref="P368">_xlfn.IFS(O368&lt;=6,"Detractors",AND(O368&gt;=7,O368&lt;=8),"Passives",AND(O368&gt;8,O368&lt;=10),"Promoters",O368="Not Available","NA")</f>
        <v>Detractors</v>
      </c>
    </row>
    <row r="369" spans="1:16" ht="14.25" customHeight="1" x14ac:dyDescent="0.3">
      <c r="A369" s="2" t="s">
        <v>395</v>
      </c>
      <c r="B369" s="2" t="s">
        <v>19</v>
      </c>
      <c r="C369" s="2" t="s">
        <v>30</v>
      </c>
      <c r="D369" s="3">
        <v>45934</v>
      </c>
      <c r="E369" s="3">
        <v>45939</v>
      </c>
      <c r="F369" s="3">
        <v>45941</v>
      </c>
      <c r="G369" s="3">
        <v>45943</v>
      </c>
      <c r="H369" s="23" t="str">
        <f t="shared" si="5"/>
        <v>Delivered</v>
      </c>
      <c r="I369" s="2" t="s">
        <v>23</v>
      </c>
      <c r="J369" s="2" t="s">
        <v>26</v>
      </c>
      <c r="L369" s="2">
        <v>5</v>
      </c>
      <c r="M369" s="2">
        <v>2</v>
      </c>
      <c r="N369" s="2">
        <v>2</v>
      </c>
      <c r="O369" t="s">
        <v>1080</v>
      </c>
      <c r="P369" s="24" t="str" cm="1">
        <f t="array" ref="P369">_xlfn.IFS(O369&lt;=6,"Detractors",AND(O369&gt;=7,O369&lt;=8),"Passives",AND(O369&gt;8,O369&lt;=10),"Promoters",O369="Not Available","NA")</f>
        <v>NA</v>
      </c>
    </row>
    <row r="370" spans="1:16" ht="14.25" customHeight="1" x14ac:dyDescent="0.3">
      <c r="A370" s="2" t="s">
        <v>396</v>
      </c>
      <c r="B370" s="2" t="s">
        <v>19</v>
      </c>
      <c r="C370" s="2" t="s">
        <v>16</v>
      </c>
      <c r="D370" s="3">
        <v>45955</v>
      </c>
      <c r="E370" s="3">
        <v>45958</v>
      </c>
      <c r="F370" s="3">
        <v>45963</v>
      </c>
      <c r="G370" s="3">
        <v>45966</v>
      </c>
      <c r="H370" s="23" t="str">
        <f t="shared" si="5"/>
        <v>Delivered</v>
      </c>
      <c r="I370" s="2" t="s">
        <v>17</v>
      </c>
      <c r="J370" s="24" t="s">
        <v>1054</v>
      </c>
      <c r="K370" s="3">
        <v>45979</v>
      </c>
      <c r="L370" s="2">
        <v>3</v>
      </c>
      <c r="M370" s="2">
        <v>5</v>
      </c>
      <c r="N370" s="2">
        <v>3</v>
      </c>
      <c r="O370" s="36">
        <v>10</v>
      </c>
      <c r="P370" s="24" t="str" cm="1">
        <f t="array" ref="P370">_xlfn.IFS(O370&lt;=6,"Detractors",AND(O370&gt;=7,O370&lt;=8),"Passives",AND(O370&gt;8,O370&lt;=10),"Promoters",O370="Not Available","NA")</f>
        <v>Promoters</v>
      </c>
    </row>
    <row r="371" spans="1:16" ht="14.25" customHeight="1" x14ac:dyDescent="0.3">
      <c r="A371" s="42" t="s">
        <v>397</v>
      </c>
      <c r="B371" s="2" t="s">
        <v>19</v>
      </c>
      <c r="C371" s="2" t="s">
        <v>30</v>
      </c>
      <c r="D371" s="3">
        <v>45943</v>
      </c>
      <c r="E371" s="3">
        <v>45944</v>
      </c>
      <c r="F371" s="3">
        <v>45948</v>
      </c>
      <c r="G371" s="3">
        <v>45954</v>
      </c>
      <c r="H371" s="23" t="str">
        <f t="shared" si="5"/>
        <v>Delivered</v>
      </c>
      <c r="I371" s="2" t="s">
        <v>17</v>
      </c>
      <c r="J371" s="24" t="s">
        <v>1054</v>
      </c>
      <c r="K371" s="3">
        <v>45977</v>
      </c>
      <c r="L371" s="2">
        <v>1</v>
      </c>
      <c r="M371" s="2">
        <v>4</v>
      </c>
      <c r="N371" s="2">
        <v>6</v>
      </c>
      <c r="O371" s="36">
        <v>4</v>
      </c>
      <c r="P371" s="24" t="str" cm="1">
        <f t="array" ref="P371">_xlfn.IFS(O371&lt;=6,"Detractors",AND(O371&gt;=7,O371&lt;=8),"Passives",AND(O371&gt;8,O371&lt;=10),"Promoters",O371="Not Available","NA")</f>
        <v>Detractors</v>
      </c>
    </row>
    <row r="372" spans="1:16" ht="14.25" customHeight="1" x14ac:dyDescent="0.3">
      <c r="A372" s="2" t="s">
        <v>398</v>
      </c>
      <c r="B372" s="2" t="s">
        <v>32</v>
      </c>
      <c r="C372" s="2" t="s">
        <v>16</v>
      </c>
      <c r="D372" s="3">
        <v>45958</v>
      </c>
      <c r="E372" s="3">
        <v>45961</v>
      </c>
      <c r="F372" s="3">
        <v>45966</v>
      </c>
      <c r="G372" s="3">
        <v>45969</v>
      </c>
      <c r="H372" s="23" t="str">
        <f t="shared" si="5"/>
        <v>Delivered</v>
      </c>
      <c r="I372" s="2" t="s">
        <v>17</v>
      </c>
      <c r="J372" s="24" t="s">
        <v>1054</v>
      </c>
      <c r="K372" s="3">
        <v>45983</v>
      </c>
      <c r="L372" s="2">
        <v>3</v>
      </c>
      <c r="M372" s="2">
        <v>5</v>
      </c>
      <c r="N372" s="2">
        <v>3</v>
      </c>
      <c r="O372" s="36">
        <v>7</v>
      </c>
      <c r="P372" s="24" t="str" cm="1">
        <f t="array" ref="P372">_xlfn.IFS(O372&lt;=6,"Detractors",AND(O372&gt;=7,O372&lt;=8),"Passives",AND(O372&gt;8,O372&lt;=10),"Promoters",O372="Not Available","NA")</f>
        <v>Passives</v>
      </c>
    </row>
    <row r="373" spans="1:16" ht="14.25" customHeight="1" x14ac:dyDescent="0.3">
      <c r="A373" s="2" t="s">
        <v>399</v>
      </c>
      <c r="B373" s="2" t="s">
        <v>21</v>
      </c>
      <c r="C373" s="2" t="s">
        <v>16</v>
      </c>
      <c r="D373" s="3">
        <v>45947</v>
      </c>
      <c r="E373" s="3">
        <v>45950</v>
      </c>
      <c r="F373" s="3">
        <v>45952</v>
      </c>
      <c r="G373" s="3">
        <v>45958</v>
      </c>
      <c r="H373" s="23" t="str">
        <f t="shared" si="5"/>
        <v>Delivered</v>
      </c>
      <c r="I373" s="2" t="s">
        <v>17</v>
      </c>
      <c r="J373" s="24" t="s">
        <v>1054</v>
      </c>
      <c r="K373" s="3">
        <v>45972</v>
      </c>
      <c r="L373" s="2">
        <v>3</v>
      </c>
      <c r="M373" s="2">
        <v>2</v>
      </c>
      <c r="N373" s="2">
        <v>6</v>
      </c>
      <c r="O373" s="36">
        <v>1</v>
      </c>
      <c r="P373" s="24" t="str" cm="1">
        <f t="array" ref="P373">_xlfn.IFS(O373&lt;=6,"Detractors",AND(O373&gt;=7,O373&lt;=8),"Passives",AND(O373&gt;8,O373&lt;=10),"Promoters",O373="Not Available","NA")</f>
        <v>Detractors</v>
      </c>
    </row>
    <row r="374" spans="1:16" ht="14.25" customHeight="1" x14ac:dyDescent="0.3">
      <c r="A374" s="2" t="s">
        <v>400</v>
      </c>
      <c r="B374" s="2" t="s">
        <v>32</v>
      </c>
      <c r="C374" s="2" t="s">
        <v>16</v>
      </c>
      <c r="D374" s="3">
        <v>45957</v>
      </c>
      <c r="E374" s="3">
        <v>45959</v>
      </c>
      <c r="F374" s="3">
        <v>45961</v>
      </c>
      <c r="G374" s="3">
        <v>45968</v>
      </c>
      <c r="H374" s="23" t="str">
        <f t="shared" si="5"/>
        <v>Delivered</v>
      </c>
      <c r="I374" s="2" t="s">
        <v>17</v>
      </c>
      <c r="J374" s="24" t="s">
        <v>1054</v>
      </c>
      <c r="K374" s="3">
        <v>45996</v>
      </c>
      <c r="L374" s="2">
        <v>2</v>
      </c>
      <c r="M374" s="2">
        <v>2</v>
      </c>
      <c r="N374" s="2">
        <v>7</v>
      </c>
      <c r="O374" s="36">
        <v>5</v>
      </c>
      <c r="P374" s="24" t="str" cm="1">
        <f t="array" ref="P374">_xlfn.IFS(O374&lt;=6,"Detractors",AND(O374&gt;=7,O374&lt;=8),"Passives",AND(O374&gt;8,O374&lt;=10),"Promoters",O374="Not Available","NA")</f>
        <v>Detractors</v>
      </c>
    </row>
    <row r="375" spans="1:16" ht="14.25" customHeight="1" x14ac:dyDescent="0.3">
      <c r="A375" s="2" t="s">
        <v>401</v>
      </c>
      <c r="B375" s="2" t="s">
        <v>15</v>
      </c>
      <c r="C375" s="2" t="s">
        <v>16</v>
      </c>
      <c r="D375" s="3">
        <v>45931</v>
      </c>
      <c r="E375" s="3">
        <v>45933</v>
      </c>
      <c r="F375" s="3">
        <v>45934</v>
      </c>
      <c r="G375" s="3">
        <v>45939</v>
      </c>
      <c r="H375" s="23" t="str">
        <f t="shared" si="5"/>
        <v>Delivered</v>
      </c>
      <c r="I375" s="2" t="s">
        <v>17</v>
      </c>
      <c r="J375" s="24" t="s">
        <v>1054</v>
      </c>
      <c r="K375" s="3">
        <v>45967</v>
      </c>
      <c r="L375" s="2">
        <v>2</v>
      </c>
      <c r="M375" s="2">
        <v>1</v>
      </c>
      <c r="N375" s="2">
        <v>5</v>
      </c>
      <c r="O375" s="36">
        <v>2</v>
      </c>
      <c r="P375" s="24" t="str" cm="1">
        <f t="array" ref="P375">_xlfn.IFS(O375&lt;=6,"Detractors",AND(O375&gt;=7,O375&lt;=8),"Passives",AND(O375&gt;8,O375&lt;=10),"Promoters",O375="Not Available","NA")</f>
        <v>Detractors</v>
      </c>
    </row>
    <row r="376" spans="1:16" ht="14.25" customHeight="1" x14ac:dyDescent="0.3">
      <c r="A376" s="42" t="s">
        <v>402</v>
      </c>
      <c r="B376" s="2" t="s">
        <v>32</v>
      </c>
      <c r="C376" s="2" t="s">
        <v>30</v>
      </c>
      <c r="D376" s="3">
        <v>45952</v>
      </c>
      <c r="E376" s="3">
        <v>45955</v>
      </c>
      <c r="F376" s="3">
        <v>45956</v>
      </c>
      <c r="G376" s="3">
        <v>45958</v>
      </c>
      <c r="H376" s="23" t="str">
        <f t="shared" si="5"/>
        <v>Delivered</v>
      </c>
      <c r="I376" s="2" t="s">
        <v>17</v>
      </c>
      <c r="J376" s="24" t="s">
        <v>1054</v>
      </c>
      <c r="K376" s="3">
        <v>45986</v>
      </c>
      <c r="L376" s="2">
        <v>3</v>
      </c>
      <c r="M376" s="2">
        <v>1</v>
      </c>
      <c r="N376" s="2">
        <v>2</v>
      </c>
      <c r="O376" s="36">
        <v>9</v>
      </c>
      <c r="P376" s="24" t="str" cm="1">
        <f t="array" ref="P376">_xlfn.IFS(O376&lt;=6,"Detractors",AND(O376&gt;=7,O376&lt;=8),"Passives",AND(O376&gt;8,O376&lt;=10),"Promoters",O376="Not Available","NA")</f>
        <v>Promoters</v>
      </c>
    </row>
    <row r="377" spans="1:16" ht="14.25" customHeight="1" x14ac:dyDescent="0.3">
      <c r="A377" s="2" t="s">
        <v>403</v>
      </c>
      <c r="B377" s="2" t="s">
        <v>15</v>
      </c>
      <c r="C377" s="2" t="s">
        <v>16</v>
      </c>
      <c r="D377" s="3">
        <v>45958</v>
      </c>
      <c r="E377" s="3">
        <v>45962</v>
      </c>
      <c r="F377" s="3">
        <v>45965</v>
      </c>
      <c r="G377" s="3">
        <v>45967</v>
      </c>
      <c r="H377" s="23" t="str">
        <f t="shared" si="5"/>
        <v>Delivered</v>
      </c>
      <c r="I377" s="2" t="s">
        <v>23</v>
      </c>
      <c r="J377" s="2" t="s">
        <v>33</v>
      </c>
      <c r="L377" s="2">
        <v>4</v>
      </c>
      <c r="M377" s="2">
        <v>3</v>
      </c>
      <c r="N377" s="2">
        <v>2</v>
      </c>
      <c r="O377" t="s">
        <v>1080</v>
      </c>
      <c r="P377" s="24" t="str" cm="1">
        <f t="array" ref="P377">_xlfn.IFS(O377&lt;=6,"Detractors",AND(O377&gt;=7,O377&lt;=8),"Passives",AND(O377&gt;8,O377&lt;=10),"Promoters",O377="Not Available","NA")</f>
        <v>NA</v>
      </c>
    </row>
    <row r="378" spans="1:16" ht="14.25" customHeight="1" x14ac:dyDescent="0.3">
      <c r="A378" s="2" t="s">
        <v>404</v>
      </c>
      <c r="B378" s="2" t="s">
        <v>32</v>
      </c>
      <c r="C378" s="2" t="s">
        <v>16</v>
      </c>
      <c r="D378" s="3">
        <v>45948</v>
      </c>
      <c r="E378" s="3">
        <v>45950</v>
      </c>
      <c r="F378" s="3">
        <v>45954</v>
      </c>
      <c r="G378" s="3">
        <v>45961</v>
      </c>
      <c r="H378" s="23" t="str">
        <f t="shared" si="5"/>
        <v>Delivered</v>
      </c>
      <c r="I378" s="2" t="s">
        <v>17</v>
      </c>
      <c r="J378" s="24" t="s">
        <v>1054</v>
      </c>
      <c r="K378" s="3">
        <v>45974</v>
      </c>
      <c r="L378" s="2">
        <v>2</v>
      </c>
      <c r="M378" s="2">
        <v>4</v>
      </c>
      <c r="N378" s="2">
        <v>7</v>
      </c>
      <c r="O378" s="36">
        <v>3</v>
      </c>
      <c r="P378" s="24" t="str" cm="1">
        <f t="array" ref="P378">_xlfn.IFS(O378&lt;=6,"Detractors",AND(O378&gt;=7,O378&lt;=8),"Passives",AND(O378&gt;8,O378&lt;=10),"Promoters",O378="Not Available","NA")</f>
        <v>Detractors</v>
      </c>
    </row>
    <row r="379" spans="1:16" ht="14.25" customHeight="1" x14ac:dyDescent="0.3">
      <c r="A379" s="2" t="s">
        <v>405</v>
      </c>
      <c r="B379" s="2" t="s">
        <v>21</v>
      </c>
      <c r="C379" s="2" t="s">
        <v>16</v>
      </c>
      <c r="D379" s="3">
        <v>45945</v>
      </c>
      <c r="E379" s="3">
        <v>45947</v>
      </c>
      <c r="F379" s="3">
        <v>45952</v>
      </c>
      <c r="G379" s="3">
        <v>45956</v>
      </c>
      <c r="H379" s="23" t="str">
        <f t="shared" si="5"/>
        <v>Delivered</v>
      </c>
      <c r="I379" s="2" t="s">
        <v>17</v>
      </c>
      <c r="J379" s="24" t="s">
        <v>1054</v>
      </c>
      <c r="K379" s="3">
        <v>45969</v>
      </c>
      <c r="L379" s="2">
        <v>2</v>
      </c>
      <c r="M379" s="2">
        <v>5</v>
      </c>
      <c r="N379" s="2">
        <v>4</v>
      </c>
      <c r="O379" s="36">
        <v>9</v>
      </c>
      <c r="P379" s="24" t="str" cm="1">
        <f t="array" ref="P379">_xlfn.IFS(O379&lt;=6,"Detractors",AND(O379&gt;=7,O379&lt;=8),"Passives",AND(O379&gt;8,O379&lt;=10),"Promoters",O379="Not Available","NA")</f>
        <v>Promoters</v>
      </c>
    </row>
    <row r="380" spans="1:16" ht="14.25" customHeight="1" x14ac:dyDescent="0.3">
      <c r="A380" s="2" t="s">
        <v>406</v>
      </c>
      <c r="B380" s="2" t="s">
        <v>15</v>
      </c>
      <c r="C380" s="2" t="s">
        <v>22</v>
      </c>
      <c r="D380" s="3">
        <v>45944</v>
      </c>
      <c r="H380" s="23" t="str">
        <f t="shared" si="5"/>
        <v>Not Delivered</v>
      </c>
      <c r="I380" s="2" t="s">
        <v>23</v>
      </c>
      <c r="J380" s="2" t="s">
        <v>63</v>
      </c>
      <c r="L380">
        <v>0</v>
      </c>
      <c r="M380">
        <v>0</v>
      </c>
      <c r="N380">
        <v>0</v>
      </c>
      <c r="O380" t="s">
        <v>1080</v>
      </c>
      <c r="P380" s="24" t="str" cm="1">
        <f t="array" ref="P380">_xlfn.IFS(O380&lt;=6,"Detractors",AND(O380&gt;=7,O380&lt;=8),"Passives",AND(O380&gt;8,O380&lt;=10),"Promoters",O380="Not Available","NA")</f>
        <v>NA</v>
      </c>
    </row>
    <row r="381" spans="1:16" ht="14.25" customHeight="1" x14ac:dyDescent="0.3">
      <c r="A381" s="42" t="s">
        <v>407</v>
      </c>
      <c r="B381" s="2" t="s">
        <v>19</v>
      </c>
      <c r="C381" s="2" t="s">
        <v>30</v>
      </c>
      <c r="D381" s="3">
        <v>45932</v>
      </c>
      <c r="E381" s="3">
        <v>45934</v>
      </c>
      <c r="F381" s="3">
        <v>45938</v>
      </c>
      <c r="G381" s="3">
        <v>45940</v>
      </c>
      <c r="H381" s="23" t="str">
        <f t="shared" si="5"/>
        <v>Delivered</v>
      </c>
      <c r="I381" s="2" t="s">
        <v>17</v>
      </c>
      <c r="J381" s="24" t="s">
        <v>1054</v>
      </c>
      <c r="K381" s="3">
        <v>45968</v>
      </c>
      <c r="L381" s="2">
        <v>2</v>
      </c>
      <c r="M381" s="2">
        <v>4</v>
      </c>
      <c r="N381" s="2">
        <v>2</v>
      </c>
      <c r="O381" s="36">
        <v>10</v>
      </c>
      <c r="P381" s="24" t="str" cm="1">
        <f t="array" ref="P381">_xlfn.IFS(O381&lt;=6,"Detractors",AND(O381&gt;=7,O381&lt;=8),"Passives",AND(O381&gt;8,O381&lt;=10),"Promoters",O381="Not Available","NA")</f>
        <v>Promoters</v>
      </c>
    </row>
    <row r="382" spans="1:16" ht="14.25" customHeight="1" x14ac:dyDescent="0.3">
      <c r="A382" s="2" t="s">
        <v>408</v>
      </c>
      <c r="B382" s="2" t="s">
        <v>19</v>
      </c>
      <c r="C382" s="2" t="s">
        <v>16</v>
      </c>
      <c r="D382" s="3">
        <v>45937</v>
      </c>
      <c r="E382" s="3">
        <v>45939</v>
      </c>
      <c r="F382" s="3">
        <v>45944</v>
      </c>
      <c r="G382" s="3">
        <v>45949</v>
      </c>
      <c r="H382" s="23" t="str">
        <f t="shared" si="5"/>
        <v>Delivered</v>
      </c>
      <c r="I382" s="2" t="s">
        <v>17</v>
      </c>
      <c r="J382" s="24" t="s">
        <v>1054</v>
      </c>
      <c r="K382" s="3">
        <v>45962</v>
      </c>
      <c r="L382" s="2">
        <v>2</v>
      </c>
      <c r="M382" s="2">
        <v>5</v>
      </c>
      <c r="N382" s="2">
        <v>5</v>
      </c>
      <c r="O382" s="36">
        <v>1</v>
      </c>
      <c r="P382" s="24" t="str" cm="1">
        <f t="array" ref="P382">_xlfn.IFS(O382&lt;=6,"Detractors",AND(O382&gt;=7,O382&lt;=8),"Passives",AND(O382&gt;8,O382&lt;=10),"Promoters",O382="Not Available","NA")</f>
        <v>Detractors</v>
      </c>
    </row>
    <row r="383" spans="1:16" ht="14.25" customHeight="1" x14ac:dyDescent="0.3">
      <c r="A383" s="2" t="s">
        <v>409</v>
      </c>
      <c r="B383" s="2" t="s">
        <v>32</v>
      </c>
      <c r="C383" s="2" t="s">
        <v>16</v>
      </c>
      <c r="D383" s="3">
        <v>45947</v>
      </c>
      <c r="E383" s="3">
        <v>45948</v>
      </c>
      <c r="F383" s="3">
        <v>45952</v>
      </c>
      <c r="G383" s="3">
        <v>45959</v>
      </c>
      <c r="H383" s="23" t="str">
        <f t="shared" si="5"/>
        <v>Delivered</v>
      </c>
      <c r="I383" s="2" t="s">
        <v>17</v>
      </c>
      <c r="J383" s="24" t="s">
        <v>1054</v>
      </c>
      <c r="K383" s="3">
        <v>45978</v>
      </c>
      <c r="L383" s="2">
        <v>1</v>
      </c>
      <c r="M383" s="2">
        <v>4</v>
      </c>
      <c r="N383" s="2">
        <v>7</v>
      </c>
      <c r="O383" s="36">
        <v>8</v>
      </c>
      <c r="P383" s="24" t="str" cm="1">
        <f t="array" ref="P383">_xlfn.IFS(O383&lt;=6,"Detractors",AND(O383&gt;=7,O383&lt;=8),"Passives",AND(O383&gt;8,O383&lt;=10),"Promoters",O383="Not Available","NA")</f>
        <v>Passives</v>
      </c>
    </row>
    <row r="384" spans="1:16" ht="14.25" customHeight="1" x14ac:dyDescent="0.3">
      <c r="A384" s="2" t="s">
        <v>410</v>
      </c>
      <c r="B384" s="2" t="s">
        <v>19</v>
      </c>
      <c r="C384" s="2" t="s">
        <v>16</v>
      </c>
      <c r="D384" s="3">
        <v>45942</v>
      </c>
      <c r="E384" s="3">
        <v>45945</v>
      </c>
      <c r="F384" s="3">
        <v>45947</v>
      </c>
      <c r="G384" s="3">
        <v>45950</v>
      </c>
      <c r="H384" s="23" t="str">
        <f t="shared" si="5"/>
        <v>Delivered</v>
      </c>
      <c r="I384" s="2" t="s">
        <v>17</v>
      </c>
      <c r="J384" s="24" t="s">
        <v>1054</v>
      </c>
      <c r="K384" s="3">
        <v>45977</v>
      </c>
      <c r="L384" s="2">
        <v>3</v>
      </c>
      <c r="M384" s="2">
        <v>2</v>
      </c>
      <c r="N384" s="2">
        <v>3</v>
      </c>
      <c r="O384" s="36">
        <v>4</v>
      </c>
      <c r="P384" s="24" t="str" cm="1">
        <f t="array" ref="P384">_xlfn.IFS(O384&lt;=6,"Detractors",AND(O384&gt;=7,O384&lt;=8),"Passives",AND(O384&gt;8,O384&lt;=10),"Promoters",O384="Not Available","NA")</f>
        <v>Detractors</v>
      </c>
    </row>
    <row r="385" spans="1:16" ht="14.25" customHeight="1" x14ac:dyDescent="0.3">
      <c r="A385" s="42" t="s">
        <v>411</v>
      </c>
      <c r="B385" s="2" t="s">
        <v>15</v>
      </c>
      <c r="C385" s="2" t="s">
        <v>30</v>
      </c>
      <c r="D385" s="3">
        <v>45950</v>
      </c>
      <c r="E385" s="3">
        <v>45951</v>
      </c>
      <c r="F385" s="3">
        <v>45953</v>
      </c>
      <c r="G385" s="3">
        <v>45958</v>
      </c>
      <c r="H385" s="23" t="str">
        <f t="shared" si="5"/>
        <v>Delivered</v>
      </c>
      <c r="I385" s="2" t="s">
        <v>17</v>
      </c>
      <c r="J385" s="24" t="s">
        <v>1054</v>
      </c>
      <c r="K385" s="3">
        <v>45979</v>
      </c>
      <c r="L385" s="2">
        <v>1</v>
      </c>
      <c r="M385" s="2">
        <v>2</v>
      </c>
      <c r="N385" s="2">
        <v>5</v>
      </c>
      <c r="O385" s="36">
        <v>9</v>
      </c>
      <c r="P385" s="24" t="str" cm="1">
        <f t="array" ref="P385">_xlfn.IFS(O385&lt;=6,"Detractors",AND(O385&gt;=7,O385&lt;=8),"Passives",AND(O385&gt;8,O385&lt;=10),"Promoters",O385="Not Available","NA")</f>
        <v>Promoters</v>
      </c>
    </row>
    <row r="386" spans="1:16" ht="14.25" customHeight="1" x14ac:dyDescent="0.3">
      <c r="A386" s="2" t="s">
        <v>412</v>
      </c>
      <c r="B386" s="2" t="s">
        <v>19</v>
      </c>
      <c r="C386" s="2" t="s">
        <v>30</v>
      </c>
      <c r="D386" s="3">
        <v>45955</v>
      </c>
      <c r="E386" s="3">
        <v>45960</v>
      </c>
      <c r="F386" s="3">
        <v>45964</v>
      </c>
      <c r="G386" s="3">
        <v>45966</v>
      </c>
      <c r="H386" s="23" t="str">
        <f t="shared" si="5"/>
        <v>Delivered</v>
      </c>
      <c r="I386" s="2" t="s">
        <v>23</v>
      </c>
      <c r="J386" s="2" t="s">
        <v>26</v>
      </c>
      <c r="L386" s="2">
        <v>5</v>
      </c>
      <c r="M386" s="2">
        <v>4</v>
      </c>
      <c r="N386" s="2">
        <v>2</v>
      </c>
      <c r="O386" t="s">
        <v>1080</v>
      </c>
      <c r="P386" s="24" t="str" cm="1">
        <f t="array" ref="P386">_xlfn.IFS(O386&lt;=6,"Detractors",AND(O386&gt;=7,O386&lt;=8),"Passives",AND(O386&gt;8,O386&lt;=10),"Promoters",O386="Not Available","NA")</f>
        <v>NA</v>
      </c>
    </row>
    <row r="387" spans="1:16" ht="14.25" customHeight="1" x14ac:dyDescent="0.3">
      <c r="A387" s="2" t="s">
        <v>413</v>
      </c>
      <c r="B387" s="2" t="s">
        <v>21</v>
      </c>
      <c r="C387" s="2" t="s">
        <v>22</v>
      </c>
      <c r="D387" s="3">
        <v>45946</v>
      </c>
      <c r="H387" s="23" t="str">
        <f t="shared" ref="H387:H450" si="6">IF(G387="", "Not Delivered", "Delivered")</f>
        <v>Not Delivered</v>
      </c>
      <c r="I387" s="2" t="s">
        <v>23</v>
      </c>
      <c r="J387" s="2" t="s">
        <v>101</v>
      </c>
      <c r="L387">
        <v>0</v>
      </c>
      <c r="M387">
        <v>0</v>
      </c>
      <c r="N387">
        <v>0</v>
      </c>
      <c r="O387" t="s">
        <v>1080</v>
      </c>
      <c r="P387" s="24" t="str" cm="1">
        <f t="array" ref="P387">_xlfn.IFS(O387&lt;=6,"Detractors",AND(O387&gt;=7,O387&lt;=8),"Passives",AND(O387&gt;8,O387&lt;=10),"Promoters",O387="Not Available","NA")</f>
        <v>NA</v>
      </c>
    </row>
    <row r="388" spans="1:16" ht="14.25" customHeight="1" x14ac:dyDescent="0.3">
      <c r="A388" s="2" t="s">
        <v>414</v>
      </c>
      <c r="B388" s="2" t="s">
        <v>21</v>
      </c>
      <c r="C388" s="2" t="s">
        <v>16</v>
      </c>
      <c r="D388" s="3">
        <v>45951</v>
      </c>
      <c r="E388" s="3">
        <v>45956</v>
      </c>
      <c r="F388" s="3">
        <v>45959</v>
      </c>
      <c r="G388" s="3">
        <v>45962</v>
      </c>
      <c r="H388" s="23" t="str">
        <f t="shared" si="6"/>
        <v>Delivered</v>
      </c>
      <c r="I388" s="2" t="s">
        <v>17</v>
      </c>
      <c r="J388" s="24" t="s">
        <v>1054</v>
      </c>
      <c r="K388" s="3">
        <v>45985</v>
      </c>
      <c r="L388" s="2">
        <v>5</v>
      </c>
      <c r="M388" s="2">
        <v>3</v>
      </c>
      <c r="N388" s="2">
        <v>3</v>
      </c>
      <c r="O388" s="36">
        <v>5</v>
      </c>
      <c r="P388" s="24" t="str" cm="1">
        <f t="array" ref="P388">_xlfn.IFS(O388&lt;=6,"Detractors",AND(O388&gt;=7,O388&lt;=8),"Passives",AND(O388&gt;8,O388&lt;=10),"Promoters",O388="Not Available","NA")</f>
        <v>Detractors</v>
      </c>
    </row>
    <row r="389" spans="1:16" ht="14.25" customHeight="1" x14ac:dyDescent="0.3">
      <c r="A389" s="2" t="s">
        <v>415</v>
      </c>
      <c r="B389" s="2" t="s">
        <v>32</v>
      </c>
      <c r="C389" s="2" t="s">
        <v>16</v>
      </c>
      <c r="D389" s="3">
        <v>45945</v>
      </c>
      <c r="E389" s="3">
        <v>45950</v>
      </c>
      <c r="F389" s="3">
        <v>45952</v>
      </c>
      <c r="G389" s="3">
        <v>45957</v>
      </c>
      <c r="H389" s="23" t="str">
        <f t="shared" si="6"/>
        <v>Delivered</v>
      </c>
      <c r="I389" s="2" t="s">
        <v>23</v>
      </c>
      <c r="J389" s="2" t="s">
        <v>101</v>
      </c>
      <c r="L389" s="2">
        <v>5</v>
      </c>
      <c r="M389" s="2">
        <v>2</v>
      </c>
      <c r="N389" s="2">
        <v>5</v>
      </c>
      <c r="O389" t="s">
        <v>1080</v>
      </c>
      <c r="P389" s="24" t="str" cm="1">
        <f t="array" ref="P389">_xlfn.IFS(O389&lt;=6,"Detractors",AND(O389&gt;=7,O389&lt;=8),"Passives",AND(O389&gt;8,O389&lt;=10),"Promoters",O389="Not Available","NA")</f>
        <v>NA</v>
      </c>
    </row>
    <row r="390" spans="1:16" ht="14.25" customHeight="1" x14ac:dyDescent="0.3">
      <c r="A390" s="2" t="s">
        <v>416</v>
      </c>
      <c r="B390" s="2" t="s">
        <v>15</v>
      </c>
      <c r="C390" s="2" t="s">
        <v>16</v>
      </c>
      <c r="D390" s="3">
        <v>45955</v>
      </c>
      <c r="E390" s="3">
        <v>45956</v>
      </c>
      <c r="F390" s="3">
        <v>45959</v>
      </c>
      <c r="G390" s="3">
        <v>45961</v>
      </c>
      <c r="H390" s="23" t="str">
        <f t="shared" si="6"/>
        <v>Delivered</v>
      </c>
      <c r="I390" s="2" t="s">
        <v>17</v>
      </c>
      <c r="J390" s="24" t="s">
        <v>1054</v>
      </c>
      <c r="K390" s="3">
        <v>45979</v>
      </c>
      <c r="L390" s="2">
        <v>1</v>
      </c>
      <c r="M390" s="2">
        <v>3</v>
      </c>
      <c r="N390" s="2">
        <v>2</v>
      </c>
      <c r="O390" s="36">
        <v>3</v>
      </c>
      <c r="P390" s="24" t="str" cm="1">
        <f t="array" ref="P390">_xlfn.IFS(O390&lt;=6,"Detractors",AND(O390&gt;=7,O390&lt;=8),"Passives",AND(O390&gt;8,O390&lt;=10),"Promoters",O390="Not Available","NA")</f>
        <v>Detractors</v>
      </c>
    </row>
    <row r="391" spans="1:16" ht="14.25" customHeight="1" x14ac:dyDescent="0.3">
      <c r="A391" s="2" t="s">
        <v>417</v>
      </c>
      <c r="B391" s="2" t="s">
        <v>21</v>
      </c>
      <c r="C391" s="2" t="s">
        <v>16</v>
      </c>
      <c r="D391" s="3">
        <v>45932</v>
      </c>
      <c r="E391" s="3">
        <v>45935</v>
      </c>
      <c r="F391" s="3">
        <v>45937</v>
      </c>
      <c r="G391" s="3">
        <v>45944</v>
      </c>
      <c r="H391" s="23" t="str">
        <f t="shared" si="6"/>
        <v>Delivered</v>
      </c>
      <c r="I391" s="2" t="s">
        <v>17</v>
      </c>
      <c r="J391" s="24" t="s">
        <v>1054</v>
      </c>
      <c r="K391" s="3">
        <v>45966</v>
      </c>
      <c r="L391" s="2">
        <v>3</v>
      </c>
      <c r="M391" s="2">
        <v>2</v>
      </c>
      <c r="N391" s="2">
        <v>7</v>
      </c>
      <c r="O391" s="36">
        <v>6</v>
      </c>
      <c r="P391" s="24" t="str" cm="1">
        <f t="array" ref="P391">_xlfn.IFS(O391&lt;=6,"Detractors",AND(O391&gt;=7,O391&lt;=8),"Passives",AND(O391&gt;8,O391&lt;=10),"Promoters",O391="Not Available","NA")</f>
        <v>Detractors</v>
      </c>
    </row>
    <row r="392" spans="1:16" ht="14.25" customHeight="1" x14ac:dyDescent="0.3">
      <c r="A392" s="42" t="s">
        <v>418</v>
      </c>
      <c r="B392" s="2" t="s">
        <v>21</v>
      </c>
      <c r="C392" s="2" t="s">
        <v>30</v>
      </c>
      <c r="D392" s="3">
        <v>45937</v>
      </c>
      <c r="E392" s="3">
        <v>45942</v>
      </c>
      <c r="F392" s="3">
        <v>45943</v>
      </c>
      <c r="G392" s="3">
        <v>45945</v>
      </c>
      <c r="H392" s="23" t="str">
        <f t="shared" si="6"/>
        <v>Delivered</v>
      </c>
      <c r="I392" s="2" t="s">
        <v>17</v>
      </c>
      <c r="J392" s="24" t="s">
        <v>1054</v>
      </c>
      <c r="K392" s="3">
        <v>45975</v>
      </c>
      <c r="L392" s="2">
        <v>5</v>
      </c>
      <c r="M392" s="2">
        <v>1</v>
      </c>
      <c r="N392" s="2">
        <v>2</v>
      </c>
      <c r="O392" s="36">
        <v>1</v>
      </c>
      <c r="P392" s="24" t="str" cm="1">
        <f t="array" ref="P392">_xlfn.IFS(O392&lt;=6,"Detractors",AND(O392&gt;=7,O392&lt;=8),"Passives",AND(O392&gt;8,O392&lt;=10),"Promoters",O392="Not Available","NA")</f>
        <v>Detractors</v>
      </c>
    </row>
    <row r="393" spans="1:16" ht="14.25" customHeight="1" x14ac:dyDescent="0.3">
      <c r="A393" s="2" t="s">
        <v>419</v>
      </c>
      <c r="B393" s="2" t="s">
        <v>15</v>
      </c>
      <c r="C393" s="2" t="s">
        <v>16</v>
      </c>
      <c r="D393" s="3">
        <v>45939</v>
      </c>
      <c r="E393" s="3">
        <v>45941</v>
      </c>
      <c r="F393" s="3">
        <v>45942</v>
      </c>
      <c r="G393" s="3">
        <v>45944</v>
      </c>
      <c r="H393" s="23" t="str">
        <f t="shared" si="6"/>
        <v>Delivered</v>
      </c>
      <c r="I393" s="2" t="s">
        <v>17</v>
      </c>
      <c r="J393" s="24" t="s">
        <v>1054</v>
      </c>
      <c r="K393" s="3">
        <v>45969</v>
      </c>
      <c r="L393" s="2">
        <v>2</v>
      </c>
      <c r="M393" s="2">
        <v>1</v>
      </c>
      <c r="N393" s="2">
        <v>2</v>
      </c>
      <c r="O393" s="36">
        <v>4</v>
      </c>
      <c r="P393" s="24" t="str" cm="1">
        <f t="array" ref="P393">_xlfn.IFS(O393&lt;=6,"Detractors",AND(O393&gt;=7,O393&lt;=8),"Passives",AND(O393&gt;8,O393&lt;=10),"Promoters",O393="Not Available","NA")</f>
        <v>Detractors</v>
      </c>
    </row>
    <row r="394" spans="1:16" ht="14.25" customHeight="1" x14ac:dyDescent="0.3">
      <c r="A394" s="2" t="s">
        <v>420</v>
      </c>
      <c r="B394" s="2" t="s">
        <v>19</v>
      </c>
      <c r="C394" s="2" t="s">
        <v>16</v>
      </c>
      <c r="D394" s="3">
        <v>45948</v>
      </c>
      <c r="E394" s="3">
        <v>45953</v>
      </c>
      <c r="F394" s="3">
        <v>45957</v>
      </c>
      <c r="G394" s="3">
        <v>45961</v>
      </c>
      <c r="H394" s="23" t="str">
        <f t="shared" si="6"/>
        <v>Delivered</v>
      </c>
      <c r="I394" s="2" t="s">
        <v>17</v>
      </c>
      <c r="J394" s="24" t="s">
        <v>1054</v>
      </c>
      <c r="K394" s="3">
        <v>45989</v>
      </c>
      <c r="L394" s="2">
        <v>5</v>
      </c>
      <c r="M394" s="2">
        <v>4</v>
      </c>
      <c r="N394" s="2">
        <v>4</v>
      </c>
      <c r="O394" s="36">
        <v>6</v>
      </c>
      <c r="P394" s="24" t="str" cm="1">
        <f t="array" ref="P394">_xlfn.IFS(O394&lt;=6,"Detractors",AND(O394&gt;=7,O394&lt;=8),"Passives",AND(O394&gt;8,O394&lt;=10),"Promoters",O394="Not Available","NA")</f>
        <v>Detractors</v>
      </c>
    </row>
    <row r="395" spans="1:16" ht="14.25" customHeight="1" x14ac:dyDescent="0.3">
      <c r="A395" s="2" t="s">
        <v>421</v>
      </c>
      <c r="B395" s="2" t="s">
        <v>19</v>
      </c>
      <c r="C395" s="2" t="s">
        <v>22</v>
      </c>
      <c r="D395" s="3">
        <v>45935</v>
      </c>
      <c r="H395" s="23" t="str">
        <f t="shared" si="6"/>
        <v>Not Delivered</v>
      </c>
      <c r="I395" s="2" t="s">
        <v>23</v>
      </c>
      <c r="J395" s="2" t="s">
        <v>24</v>
      </c>
      <c r="L395">
        <v>0</v>
      </c>
      <c r="M395">
        <v>0</v>
      </c>
      <c r="N395">
        <v>0</v>
      </c>
      <c r="O395" t="s">
        <v>1080</v>
      </c>
      <c r="P395" s="24" t="str" cm="1">
        <f t="array" ref="P395">_xlfn.IFS(O395&lt;=6,"Detractors",AND(O395&gt;=7,O395&lt;=8),"Passives",AND(O395&gt;8,O395&lt;=10),"Promoters",O395="Not Available","NA")</f>
        <v>NA</v>
      </c>
    </row>
    <row r="396" spans="1:16" ht="14.25" customHeight="1" x14ac:dyDescent="0.3">
      <c r="A396" s="42" t="s">
        <v>422</v>
      </c>
      <c r="B396" s="2" t="s">
        <v>32</v>
      </c>
      <c r="C396" s="2" t="s">
        <v>30</v>
      </c>
      <c r="D396" s="3">
        <v>45960</v>
      </c>
      <c r="E396" s="3">
        <v>45964</v>
      </c>
      <c r="F396" s="3">
        <v>45969</v>
      </c>
      <c r="G396" s="3">
        <v>45973</v>
      </c>
      <c r="H396" s="23" t="str">
        <f t="shared" si="6"/>
        <v>Delivered</v>
      </c>
      <c r="I396" s="2" t="s">
        <v>17</v>
      </c>
      <c r="J396" s="24" t="s">
        <v>1054</v>
      </c>
      <c r="K396" s="3">
        <v>46002</v>
      </c>
      <c r="L396" s="2">
        <v>4</v>
      </c>
      <c r="M396" s="2">
        <v>5</v>
      </c>
      <c r="N396" s="2">
        <v>4</v>
      </c>
      <c r="O396" s="36">
        <v>2</v>
      </c>
      <c r="P396" s="24" t="str" cm="1">
        <f t="array" ref="P396">_xlfn.IFS(O396&lt;=6,"Detractors",AND(O396&gt;=7,O396&lt;=8),"Passives",AND(O396&gt;8,O396&lt;=10),"Promoters",O396="Not Available","NA")</f>
        <v>Detractors</v>
      </c>
    </row>
    <row r="397" spans="1:16" ht="14.25" customHeight="1" x14ac:dyDescent="0.3">
      <c r="A397" s="2" t="s">
        <v>423</v>
      </c>
      <c r="B397" s="2" t="s">
        <v>19</v>
      </c>
      <c r="C397" s="2" t="s">
        <v>16</v>
      </c>
      <c r="D397" s="3">
        <v>45940</v>
      </c>
      <c r="E397" s="3">
        <v>45942</v>
      </c>
      <c r="F397" s="3">
        <v>45943</v>
      </c>
      <c r="G397" s="3">
        <v>45947</v>
      </c>
      <c r="H397" s="23" t="str">
        <f t="shared" si="6"/>
        <v>Delivered</v>
      </c>
      <c r="I397" s="2" t="s">
        <v>17</v>
      </c>
      <c r="J397" s="24" t="s">
        <v>1054</v>
      </c>
      <c r="K397" s="3">
        <v>45972</v>
      </c>
      <c r="L397" s="2">
        <v>2</v>
      </c>
      <c r="M397" s="2">
        <v>1</v>
      </c>
      <c r="N397" s="2">
        <v>4</v>
      </c>
      <c r="O397" s="36">
        <v>8</v>
      </c>
      <c r="P397" s="24" t="str" cm="1">
        <f t="array" ref="P397">_xlfn.IFS(O397&lt;=6,"Detractors",AND(O397&gt;=7,O397&lt;=8),"Passives",AND(O397&gt;8,O397&lt;=10),"Promoters",O397="Not Available","NA")</f>
        <v>Passives</v>
      </c>
    </row>
    <row r="398" spans="1:16" ht="14.25" customHeight="1" x14ac:dyDescent="0.3">
      <c r="A398" s="2" t="s">
        <v>424</v>
      </c>
      <c r="B398" s="2" t="s">
        <v>15</v>
      </c>
      <c r="C398" s="2" t="s">
        <v>16</v>
      </c>
      <c r="D398" s="3">
        <v>45945</v>
      </c>
      <c r="E398" s="3">
        <v>45947</v>
      </c>
      <c r="F398" s="3">
        <v>45949</v>
      </c>
      <c r="G398" s="3">
        <v>45952</v>
      </c>
      <c r="H398" s="23" t="str">
        <f t="shared" si="6"/>
        <v>Delivered</v>
      </c>
      <c r="I398" s="2" t="s">
        <v>17</v>
      </c>
      <c r="J398" s="24" t="s">
        <v>1054</v>
      </c>
      <c r="K398" s="3">
        <v>45963</v>
      </c>
      <c r="L398" s="2">
        <v>2</v>
      </c>
      <c r="M398" s="2">
        <v>2</v>
      </c>
      <c r="N398" s="2">
        <v>3</v>
      </c>
      <c r="O398" s="36">
        <v>6</v>
      </c>
      <c r="P398" s="24" t="str" cm="1">
        <f t="array" ref="P398">_xlfn.IFS(O398&lt;=6,"Detractors",AND(O398&gt;=7,O398&lt;=8),"Passives",AND(O398&gt;8,O398&lt;=10),"Promoters",O398="Not Available","NA")</f>
        <v>Detractors</v>
      </c>
    </row>
    <row r="399" spans="1:16" ht="14.25" customHeight="1" x14ac:dyDescent="0.3">
      <c r="A399" s="2" t="s">
        <v>425</v>
      </c>
      <c r="B399" s="2" t="s">
        <v>21</v>
      </c>
      <c r="C399" s="2" t="s">
        <v>16</v>
      </c>
      <c r="D399" s="3">
        <v>45959</v>
      </c>
      <c r="E399" s="3">
        <v>45961</v>
      </c>
      <c r="F399" s="3">
        <v>45963</v>
      </c>
      <c r="G399" s="3">
        <v>45968</v>
      </c>
      <c r="H399" s="23" t="str">
        <f t="shared" si="6"/>
        <v>Delivered</v>
      </c>
      <c r="I399" s="2" t="s">
        <v>17</v>
      </c>
      <c r="J399" s="24" t="s">
        <v>1054</v>
      </c>
      <c r="K399" s="3">
        <v>45983</v>
      </c>
      <c r="L399" s="2">
        <v>2</v>
      </c>
      <c r="M399" s="2">
        <v>2</v>
      </c>
      <c r="N399" s="2">
        <v>5</v>
      </c>
      <c r="O399" s="36">
        <v>2</v>
      </c>
      <c r="P399" s="24" t="str" cm="1">
        <f t="array" ref="P399">_xlfn.IFS(O399&lt;=6,"Detractors",AND(O399&gt;=7,O399&lt;=8),"Passives",AND(O399&gt;8,O399&lt;=10),"Promoters",O399="Not Available","NA")</f>
        <v>Detractors</v>
      </c>
    </row>
    <row r="400" spans="1:16" ht="14.25" customHeight="1" x14ac:dyDescent="0.3">
      <c r="A400" s="2" t="s">
        <v>426</v>
      </c>
      <c r="B400" s="2" t="s">
        <v>19</v>
      </c>
      <c r="C400" s="2" t="s">
        <v>16</v>
      </c>
      <c r="D400" s="3">
        <v>45953</v>
      </c>
      <c r="E400" s="3">
        <v>45958</v>
      </c>
      <c r="F400" s="3">
        <v>45959</v>
      </c>
      <c r="G400" s="3">
        <v>45962</v>
      </c>
      <c r="H400" s="23" t="str">
        <f t="shared" si="6"/>
        <v>Delivered</v>
      </c>
      <c r="I400" s="2" t="s">
        <v>17</v>
      </c>
      <c r="J400" s="24" t="s">
        <v>1054</v>
      </c>
      <c r="K400" s="3">
        <v>45980</v>
      </c>
      <c r="L400" s="2">
        <v>5</v>
      </c>
      <c r="M400" s="2">
        <v>1</v>
      </c>
      <c r="N400" s="2">
        <v>3</v>
      </c>
      <c r="O400" s="36">
        <v>6</v>
      </c>
      <c r="P400" s="24" t="str" cm="1">
        <f t="array" ref="P400">_xlfn.IFS(O400&lt;=6,"Detractors",AND(O400&gt;=7,O400&lt;=8),"Passives",AND(O400&gt;8,O400&lt;=10),"Promoters",O400="Not Available","NA")</f>
        <v>Detractors</v>
      </c>
    </row>
    <row r="401" spans="1:16" ht="14.25" customHeight="1" x14ac:dyDescent="0.3">
      <c r="A401" s="2" t="s">
        <v>427</v>
      </c>
      <c r="B401" s="2" t="s">
        <v>32</v>
      </c>
      <c r="C401" s="2" t="s">
        <v>16</v>
      </c>
      <c r="D401" s="3">
        <v>45946</v>
      </c>
      <c r="E401" s="3">
        <v>45948</v>
      </c>
      <c r="F401" s="3">
        <v>45949</v>
      </c>
      <c r="G401" s="3">
        <v>45956</v>
      </c>
      <c r="H401" s="23" t="str">
        <f t="shared" si="6"/>
        <v>Delivered</v>
      </c>
      <c r="I401" s="2" t="s">
        <v>17</v>
      </c>
      <c r="J401" s="24" t="s">
        <v>1054</v>
      </c>
      <c r="K401" s="3">
        <v>45978</v>
      </c>
      <c r="L401" s="2">
        <v>2</v>
      </c>
      <c r="M401" s="2">
        <v>1</v>
      </c>
      <c r="N401" s="2">
        <v>7</v>
      </c>
      <c r="O401" s="36">
        <v>7</v>
      </c>
      <c r="P401" s="24" t="str" cm="1">
        <f t="array" ref="P401">_xlfn.IFS(O401&lt;=6,"Detractors",AND(O401&gt;=7,O401&lt;=8),"Passives",AND(O401&gt;8,O401&lt;=10),"Promoters",O401="Not Available","NA")</f>
        <v>Passives</v>
      </c>
    </row>
    <row r="402" spans="1:16" ht="14.25" customHeight="1" x14ac:dyDescent="0.3">
      <c r="A402" s="2" t="s">
        <v>428</v>
      </c>
      <c r="B402" s="2" t="s">
        <v>19</v>
      </c>
      <c r="C402" s="2" t="s">
        <v>16</v>
      </c>
      <c r="D402" s="3">
        <v>45934</v>
      </c>
      <c r="E402" s="3">
        <v>45938</v>
      </c>
      <c r="F402" s="3">
        <v>45943</v>
      </c>
      <c r="G402" s="3">
        <v>45950</v>
      </c>
      <c r="H402" s="23" t="str">
        <f t="shared" si="6"/>
        <v>Delivered</v>
      </c>
      <c r="I402" s="2" t="s">
        <v>17</v>
      </c>
      <c r="J402" s="24" t="s">
        <v>1054</v>
      </c>
      <c r="K402" s="3">
        <v>45964</v>
      </c>
      <c r="L402" s="2">
        <v>4</v>
      </c>
      <c r="M402" s="2">
        <v>5</v>
      </c>
      <c r="N402" s="2">
        <v>7</v>
      </c>
      <c r="O402" s="36">
        <v>1</v>
      </c>
      <c r="P402" s="24" t="str" cm="1">
        <f t="array" ref="P402">_xlfn.IFS(O402&lt;=6,"Detractors",AND(O402&gt;=7,O402&lt;=8),"Passives",AND(O402&gt;8,O402&lt;=10),"Promoters",O402="Not Available","NA")</f>
        <v>Detractors</v>
      </c>
    </row>
    <row r="403" spans="1:16" ht="14.25" customHeight="1" x14ac:dyDescent="0.3">
      <c r="A403" s="2" t="s">
        <v>429</v>
      </c>
      <c r="B403" s="2" t="s">
        <v>15</v>
      </c>
      <c r="C403" s="2" t="s">
        <v>16</v>
      </c>
      <c r="D403" s="3">
        <v>45931</v>
      </c>
      <c r="E403" s="3">
        <v>45932</v>
      </c>
      <c r="F403" s="3">
        <v>45933</v>
      </c>
      <c r="G403" s="3">
        <v>45936</v>
      </c>
      <c r="H403" s="23" t="str">
        <f t="shared" si="6"/>
        <v>Delivered</v>
      </c>
      <c r="I403" s="2" t="s">
        <v>17</v>
      </c>
      <c r="J403" s="24" t="s">
        <v>1054</v>
      </c>
      <c r="K403" s="3">
        <v>45965</v>
      </c>
      <c r="L403" s="2">
        <v>1</v>
      </c>
      <c r="M403" s="2">
        <v>1</v>
      </c>
      <c r="N403" s="2">
        <v>3</v>
      </c>
      <c r="O403" s="36">
        <v>8</v>
      </c>
      <c r="P403" s="24" t="str" cm="1">
        <f t="array" ref="P403">_xlfn.IFS(O403&lt;=6,"Detractors",AND(O403&gt;=7,O403&lt;=8),"Passives",AND(O403&gt;8,O403&lt;=10),"Promoters",O403="Not Available","NA")</f>
        <v>Passives</v>
      </c>
    </row>
    <row r="404" spans="1:16" ht="14.25" customHeight="1" x14ac:dyDescent="0.3">
      <c r="A404" s="2" t="s">
        <v>430</v>
      </c>
      <c r="B404" s="2" t="s">
        <v>32</v>
      </c>
      <c r="C404" s="2" t="s">
        <v>16</v>
      </c>
      <c r="D404" s="3">
        <v>45951</v>
      </c>
      <c r="E404" s="3">
        <v>45955</v>
      </c>
      <c r="F404" s="3">
        <v>45959</v>
      </c>
      <c r="G404" s="3">
        <v>45961</v>
      </c>
      <c r="H404" s="23" t="str">
        <f t="shared" si="6"/>
        <v>Delivered</v>
      </c>
      <c r="I404" s="2" t="s">
        <v>17</v>
      </c>
      <c r="J404" s="24" t="s">
        <v>1054</v>
      </c>
      <c r="K404" s="3">
        <v>45990</v>
      </c>
      <c r="L404" s="2">
        <v>4</v>
      </c>
      <c r="M404" s="2">
        <v>4</v>
      </c>
      <c r="N404" s="2">
        <v>2</v>
      </c>
      <c r="O404" s="36">
        <v>7</v>
      </c>
      <c r="P404" s="24" t="str" cm="1">
        <f t="array" ref="P404">_xlfn.IFS(O404&lt;=6,"Detractors",AND(O404&gt;=7,O404&lt;=8),"Passives",AND(O404&gt;8,O404&lt;=10),"Promoters",O404="Not Available","NA")</f>
        <v>Passives</v>
      </c>
    </row>
    <row r="405" spans="1:16" ht="14.25" customHeight="1" x14ac:dyDescent="0.3">
      <c r="A405" s="2" t="s">
        <v>431</v>
      </c>
      <c r="B405" s="2" t="s">
        <v>19</v>
      </c>
      <c r="C405" s="2" t="s">
        <v>22</v>
      </c>
      <c r="D405" s="3">
        <v>45950</v>
      </c>
      <c r="H405" s="23" t="str">
        <f t="shared" si="6"/>
        <v>Not Delivered</v>
      </c>
      <c r="I405" s="2" t="s">
        <v>23</v>
      </c>
      <c r="J405" s="2" t="s">
        <v>33</v>
      </c>
      <c r="L405">
        <v>0</v>
      </c>
      <c r="M405">
        <v>0</v>
      </c>
      <c r="N405">
        <v>0</v>
      </c>
      <c r="O405" t="s">
        <v>1080</v>
      </c>
      <c r="P405" s="24" t="str" cm="1">
        <f t="array" ref="P405">_xlfn.IFS(O405&lt;=6,"Detractors",AND(O405&gt;=7,O405&lt;=8),"Passives",AND(O405&gt;8,O405&lt;=10),"Promoters",O405="Not Available","NA")</f>
        <v>NA</v>
      </c>
    </row>
    <row r="406" spans="1:16" ht="14.25" customHeight="1" x14ac:dyDescent="0.3">
      <c r="A406" s="2" t="s">
        <v>432</v>
      </c>
      <c r="B406" s="2" t="s">
        <v>32</v>
      </c>
      <c r="C406" s="2" t="s">
        <v>16</v>
      </c>
      <c r="D406" s="3">
        <v>45956</v>
      </c>
      <c r="E406" s="3">
        <v>45959</v>
      </c>
      <c r="F406" s="3">
        <v>45964</v>
      </c>
      <c r="G406" s="3">
        <v>45970</v>
      </c>
      <c r="H406" s="23" t="str">
        <f t="shared" si="6"/>
        <v>Delivered</v>
      </c>
      <c r="I406" s="2" t="s">
        <v>23</v>
      </c>
      <c r="J406" s="2" t="s">
        <v>24</v>
      </c>
      <c r="L406" s="2">
        <v>3</v>
      </c>
      <c r="M406" s="2">
        <v>5</v>
      </c>
      <c r="N406" s="2">
        <v>6</v>
      </c>
      <c r="O406" t="s">
        <v>1080</v>
      </c>
      <c r="P406" s="24" t="str" cm="1">
        <f t="array" ref="P406">_xlfn.IFS(O406&lt;=6,"Detractors",AND(O406&gt;=7,O406&lt;=8),"Passives",AND(O406&gt;8,O406&lt;=10),"Promoters",O406="Not Available","NA")</f>
        <v>NA</v>
      </c>
    </row>
    <row r="407" spans="1:16" ht="14.25" customHeight="1" x14ac:dyDescent="0.3">
      <c r="A407" s="2" t="s">
        <v>433</v>
      </c>
      <c r="B407" s="2" t="s">
        <v>15</v>
      </c>
      <c r="C407" s="2" t="s">
        <v>16</v>
      </c>
      <c r="D407" s="3">
        <v>45938</v>
      </c>
      <c r="E407" s="3">
        <v>45940</v>
      </c>
      <c r="F407" s="3">
        <v>45941</v>
      </c>
      <c r="G407" s="3">
        <v>45947</v>
      </c>
      <c r="H407" s="23" t="str">
        <f t="shared" si="6"/>
        <v>Delivered</v>
      </c>
      <c r="I407" s="2" t="s">
        <v>17</v>
      </c>
      <c r="J407" s="24" t="s">
        <v>1054</v>
      </c>
      <c r="K407" s="3">
        <v>45969</v>
      </c>
      <c r="L407" s="2">
        <v>2</v>
      </c>
      <c r="M407" s="2">
        <v>1</v>
      </c>
      <c r="N407" s="2">
        <v>6</v>
      </c>
      <c r="O407" s="36">
        <v>7</v>
      </c>
      <c r="P407" s="24" t="str" cm="1">
        <f t="array" ref="P407">_xlfn.IFS(O407&lt;=6,"Detractors",AND(O407&gt;=7,O407&lt;=8),"Passives",AND(O407&gt;8,O407&lt;=10),"Promoters",O407="Not Available","NA")</f>
        <v>Passives</v>
      </c>
    </row>
    <row r="408" spans="1:16" ht="14.25" customHeight="1" x14ac:dyDescent="0.3">
      <c r="A408" s="42" t="s">
        <v>434</v>
      </c>
      <c r="B408" s="2" t="s">
        <v>21</v>
      </c>
      <c r="C408" s="2" t="s">
        <v>30</v>
      </c>
      <c r="D408" s="3">
        <v>45953</v>
      </c>
      <c r="E408" s="3">
        <v>45957</v>
      </c>
      <c r="F408" s="3">
        <v>45959</v>
      </c>
      <c r="G408" s="3">
        <v>45961</v>
      </c>
      <c r="H408" s="23" t="str">
        <f t="shared" si="6"/>
        <v>Delivered</v>
      </c>
      <c r="I408" s="2" t="s">
        <v>17</v>
      </c>
      <c r="J408" s="24" t="s">
        <v>1054</v>
      </c>
      <c r="K408" s="3">
        <v>45972</v>
      </c>
      <c r="L408" s="2">
        <v>4</v>
      </c>
      <c r="M408" s="2">
        <v>2</v>
      </c>
      <c r="N408" s="2">
        <v>2</v>
      </c>
      <c r="O408" s="36">
        <v>7</v>
      </c>
      <c r="P408" s="24" t="str" cm="1">
        <f t="array" ref="P408">_xlfn.IFS(O408&lt;=6,"Detractors",AND(O408&gt;=7,O408&lt;=8),"Passives",AND(O408&gt;8,O408&lt;=10),"Promoters",O408="Not Available","NA")</f>
        <v>Passives</v>
      </c>
    </row>
    <row r="409" spans="1:16" ht="14.25" customHeight="1" x14ac:dyDescent="0.3">
      <c r="A409" s="2" t="s">
        <v>435</v>
      </c>
      <c r="B409" s="2" t="s">
        <v>15</v>
      </c>
      <c r="C409" s="2" t="s">
        <v>22</v>
      </c>
      <c r="D409" s="3">
        <v>45936</v>
      </c>
      <c r="H409" s="23" t="str">
        <f t="shared" si="6"/>
        <v>Not Delivered</v>
      </c>
      <c r="I409" s="2" t="s">
        <v>23</v>
      </c>
      <c r="J409" s="2" t="s">
        <v>24</v>
      </c>
      <c r="L409">
        <v>0</v>
      </c>
      <c r="M409">
        <v>0</v>
      </c>
      <c r="N409">
        <v>0</v>
      </c>
      <c r="O409" t="s">
        <v>1080</v>
      </c>
      <c r="P409" s="24" t="str" cm="1">
        <f t="array" ref="P409">_xlfn.IFS(O409&lt;=6,"Detractors",AND(O409&gt;=7,O409&lt;=8),"Passives",AND(O409&gt;8,O409&lt;=10),"Promoters",O409="Not Available","NA")</f>
        <v>NA</v>
      </c>
    </row>
    <row r="410" spans="1:16" ht="14.25" customHeight="1" x14ac:dyDescent="0.3">
      <c r="A410" s="2" t="s">
        <v>436</v>
      </c>
      <c r="B410" s="2" t="s">
        <v>15</v>
      </c>
      <c r="C410" s="2" t="s">
        <v>30</v>
      </c>
      <c r="D410" s="3">
        <v>45940</v>
      </c>
      <c r="E410" s="3">
        <v>45945</v>
      </c>
      <c r="F410" s="3">
        <v>45946</v>
      </c>
      <c r="G410" s="3">
        <v>45952</v>
      </c>
      <c r="H410" s="23" t="str">
        <f t="shared" si="6"/>
        <v>Delivered</v>
      </c>
      <c r="I410" s="2" t="s">
        <v>23</v>
      </c>
      <c r="J410" s="2" t="s">
        <v>24</v>
      </c>
      <c r="L410" s="2">
        <v>5</v>
      </c>
      <c r="M410" s="2">
        <v>1</v>
      </c>
      <c r="N410" s="2">
        <v>6</v>
      </c>
      <c r="O410" t="s">
        <v>1080</v>
      </c>
      <c r="P410" s="24" t="str" cm="1">
        <f t="array" ref="P410">_xlfn.IFS(O410&lt;=6,"Detractors",AND(O410&gt;=7,O410&lt;=8),"Passives",AND(O410&gt;8,O410&lt;=10),"Promoters",O410="Not Available","NA")</f>
        <v>NA</v>
      </c>
    </row>
    <row r="411" spans="1:16" ht="14.25" customHeight="1" x14ac:dyDescent="0.3">
      <c r="A411" s="42" t="s">
        <v>437</v>
      </c>
      <c r="B411" s="2" t="s">
        <v>15</v>
      </c>
      <c r="C411" s="2" t="s">
        <v>30</v>
      </c>
      <c r="D411" s="3">
        <v>45948</v>
      </c>
      <c r="E411" s="3">
        <v>45951</v>
      </c>
      <c r="F411" s="3">
        <v>45955</v>
      </c>
      <c r="G411" s="3">
        <v>45962</v>
      </c>
      <c r="H411" s="23" t="str">
        <f t="shared" si="6"/>
        <v>Delivered</v>
      </c>
      <c r="I411" s="2" t="s">
        <v>17</v>
      </c>
      <c r="J411" s="24" t="s">
        <v>1054</v>
      </c>
      <c r="K411" s="3">
        <v>45984</v>
      </c>
      <c r="L411" s="2">
        <v>3</v>
      </c>
      <c r="M411" s="2">
        <v>4</v>
      </c>
      <c r="N411" s="2">
        <v>7</v>
      </c>
      <c r="O411" s="36">
        <v>1</v>
      </c>
      <c r="P411" s="24" t="str" cm="1">
        <f t="array" ref="P411">_xlfn.IFS(O411&lt;=6,"Detractors",AND(O411&gt;=7,O411&lt;=8),"Passives",AND(O411&gt;8,O411&lt;=10),"Promoters",O411="Not Available","NA")</f>
        <v>Detractors</v>
      </c>
    </row>
    <row r="412" spans="1:16" ht="14.25" customHeight="1" x14ac:dyDescent="0.3">
      <c r="A412" s="42" t="s">
        <v>438</v>
      </c>
      <c r="B412" s="2" t="s">
        <v>15</v>
      </c>
      <c r="C412" s="2" t="s">
        <v>30</v>
      </c>
      <c r="D412" s="3">
        <v>45931</v>
      </c>
      <c r="E412" s="3">
        <v>45935</v>
      </c>
      <c r="F412" s="3">
        <v>45939</v>
      </c>
      <c r="G412" s="3">
        <v>45942</v>
      </c>
      <c r="H412" s="23" t="str">
        <f t="shared" si="6"/>
        <v>Delivered</v>
      </c>
      <c r="I412" s="2" t="s">
        <v>17</v>
      </c>
      <c r="J412" s="24" t="s">
        <v>1054</v>
      </c>
      <c r="K412" s="3">
        <v>45962</v>
      </c>
      <c r="L412" s="2">
        <v>4</v>
      </c>
      <c r="M412" s="2">
        <v>4</v>
      </c>
      <c r="N412" s="2">
        <v>3</v>
      </c>
      <c r="O412" s="36">
        <v>1</v>
      </c>
      <c r="P412" s="24" t="str" cm="1">
        <f t="array" ref="P412">_xlfn.IFS(O412&lt;=6,"Detractors",AND(O412&gt;=7,O412&lt;=8),"Passives",AND(O412&gt;8,O412&lt;=10),"Promoters",O412="Not Available","NA")</f>
        <v>Detractors</v>
      </c>
    </row>
    <row r="413" spans="1:16" ht="14.25" customHeight="1" x14ac:dyDescent="0.3">
      <c r="A413" s="2" t="s">
        <v>439</v>
      </c>
      <c r="B413" s="2" t="s">
        <v>21</v>
      </c>
      <c r="C413" s="2" t="s">
        <v>16</v>
      </c>
      <c r="D413" s="3">
        <v>45948</v>
      </c>
      <c r="E413" s="3">
        <v>45950</v>
      </c>
      <c r="F413" s="3">
        <v>45952</v>
      </c>
      <c r="G413" s="3">
        <v>45957</v>
      </c>
      <c r="H413" s="23" t="str">
        <f t="shared" si="6"/>
        <v>Delivered</v>
      </c>
      <c r="I413" s="2" t="s">
        <v>17</v>
      </c>
      <c r="J413" s="24" t="s">
        <v>1054</v>
      </c>
      <c r="K413" s="3">
        <v>45974</v>
      </c>
      <c r="L413" s="2">
        <v>2</v>
      </c>
      <c r="M413" s="2">
        <v>2</v>
      </c>
      <c r="N413" s="2">
        <v>5</v>
      </c>
      <c r="O413" s="36">
        <v>10</v>
      </c>
      <c r="P413" s="24" t="str" cm="1">
        <f t="array" ref="P413">_xlfn.IFS(O413&lt;=6,"Detractors",AND(O413&gt;=7,O413&lt;=8),"Passives",AND(O413&gt;8,O413&lt;=10),"Promoters",O413="Not Available","NA")</f>
        <v>Promoters</v>
      </c>
    </row>
    <row r="414" spans="1:16" ht="14.25" customHeight="1" x14ac:dyDescent="0.3">
      <c r="A414" s="42" t="s">
        <v>440</v>
      </c>
      <c r="B414" s="2" t="s">
        <v>21</v>
      </c>
      <c r="C414" s="2" t="s">
        <v>30</v>
      </c>
      <c r="D414" s="3">
        <v>45944</v>
      </c>
      <c r="E414" s="3">
        <v>45949</v>
      </c>
      <c r="F414" s="3">
        <v>45954</v>
      </c>
      <c r="G414" s="3">
        <v>45958</v>
      </c>
      <c r="H414" s="23" t="str">
        <f t="shared" si="6"/>
        <v>Delivered</v>
      </c>
      <c r="I414" s="2" t="s">
        <v>17</v>
      </c>
      <c r="J414" s="24" t="s">
        <v>1054</v>
      </c>
      <c r="K414" s="3">
        <v>45969</v>
      </c>
      <c r="L414" s="2">
        <v>5</v>
      </c>
      <c r="M414" s="2">
        <v>5</v>
      </c>
      <c r="N414" s="2">
        <v>4</v>
      </c>
      <c r="O414" s="36">
        <v>7</v>
      </c>
      <c r="P414" s="24" t="str" cm="1">
        <f t="array" ref="P414">_xlfn.IFS(O414&lt;=6,"Detractors",AND(O414&gt;=7,O414&lt;=8),"Passives",AND(O414&gt;8,O414&lt;=10),"Promoters",O414="Not Available","NA")</f>
        <v>Passives</v>
      </c>
    </row>
    <row r="415" spans="1:16" ht="14.25" customHeight="1" x14ac:dyDescent="0.3">
      <c r="A415" s="42" t="s">
        <v>441</v>
      </c>
      <c r="B415" s="2" t="s">
        <v>32</v>
      </c>
      <c r="C415" s="2" t="s">
        <v>30</v>
      </c>
      <c r="D415" s="3">
        <v>45933</v>
      </c>
      <c r="E415" s="3">
        <v>45935</v>
      </c>
      <c r="F415" s="3">
        <v>45937</v>
      </c>
      <c r="G415" s="3">
        <v>45944</v>
      </c>
      <c r="H415" s="23" t="str">
        <f t="shared" si="6"/>
        <v>Delivered</v>
      </c>
      <c r="I415" s="2" t="s">
        <v>17</v>
      </c>
      <c r="J415" s="24" t="s">
        <v>1054</v>
      </c>
      <c r="K415" s="3">
        <v>45969</v>
      </c>
      <c r="L415" s="2">
        <v>2</v>
      </c>
      <c r="M415" s="2">
        <v>2</v>
      </c>
      <c r="N415" s="2">
        <v>7</v>
      </c>
      <c r="O415" s="36">
        <v>3</v>
      </c>
      <c r="P415" s="24" t="str" cm="1">
        <f t="array" ref="P415">_xlfn.IFS(O415&lt;=6,"Detractors",AND(O415&gt;=7,O415&lt;=8),"Passives",AND(O415&gt;8,O415&lt;=10),"Promoters",O415="Not Available","NA")</f>
        <v>Detractors</v>
      </c>
    </row>
    <row r="416" spans="1:16" ht="14.25" customHeight="1" x14ac:dyDescent="0.3">
      <c r="A416" s="2" t="s">
        <v>442</v>
      </c>
      <c r="B416" s="2" t="s">
        <v>19</v>
      </c>
      <c r="C416" s="2" t="s">
        <v>30</v>
      </c>
      <c r="D416" s="3">
        <v>45938</v>
      </c>
      <c r="E416" s="3">
        <v>45941</v>
      </c>
      <c r="F416" s="3">
        <v>45942</v>
      </c>
      <c r="G416" s="3">
        <v>45945</v>
      </c>
      <c r="H416" s="23" t="str">
        <f t="shared" si="6"/>
        <v>Delivered</v>
      </c>
      <c r="I416" s="2" t="s">
        <v>23</v>
      </c>
      <c r="J416" s="2" t="s">
        <v>101</v>
      </c>
      <c r="L416" s="2">
        <v>3</v>
      </c>
      <c r="M416" s="2">
        <v>1</v>
      </c>
      <c r="N416" s="2">
        <v>3</v>
      </c>
      <c r="O416" t="s">
        <v>1080</v>
      </c>
      <c r="P416" s="24" t="str" cm="1">
        <f t="array" ref="P416">_xlfn.IFS(O416&lt;=6,"Detractors",AND(O416&gt;=7,O416&lt;=8),"Passives",AND(O416&gt;8,O416&lt;=10),"Promoters",O416="Not Available","NA")</f>
        <v>NA</v>
      </c>
    </row>
    <row r="417" spans="1:16" ht="14.25" customHeight="1" x14ac:dyDescent="0.3">
      <c r="A417" s="42" t="s">
        <v>443</v>
      </c>
      <c r="B417" s="2" t="s">
        <v>21</v>
      </c>
      <c r="C417" s="2" t="s">
        <v>30</v>
      </c>
      <c r="D417" s="3">
        <v>45957</v>
      </c>
      <c r="E417" s="3">
        <v>45961</v>
      </c>
      <c r="F417" s="3">
        <v>45963</v>
      </c>
      <c r="G417" s="3">
        <v>45970</v>
      </c>
      <c r="H417" s="23" t="str">
        <f t="shared" si="6"/>
        <v>Delivered</v>
      </c>
      <c r="I417" s="2" t="s">
        <v>17</v>
      </c>
      <c r="J417" s="24" t="s">
        <v>1054</v>
      </c>
      <c r="K417" s="3">
        <v>45988</v>
      </c>
      <c r="L417" s="2">
        <v>4</v>
      </c>
      <c r="M417" s="2">
        <v>2</v>
      </c>
      <c r="N417" s="2">
        <v>7</v>
      </c>
      <c r="O417" s="36">
        <v>0</v>
      </c>
      <c r="P417" s="24" t="str" cm="1">
        <f t="array" ref="P417">_xlfn.IFS(O417&lt;=6,"Detractors",AND(O417&gt;=7,O417&lt;=8),"Passives",AND(O417&gt;8,O417&lt;=10),"Promoters",O417="Not Available","NA")</f>
        <v>Detractors</v>
      </c>
    </row>
    <row r="418" spans="1:16" ht="14.25" customHeight="1" x14ac:dyDescent="0.3">
      <c r="A418" s="2" t="s">
        <v>444</v>
      </c>
      <c r="B418" s="2" t="s">
        <v>21</v>
      </c>
      <c r="C418" s="2" t="s">
        <v>16</v>
      </c>
      <c r="D418" s="3">
        <v>45960</v>
      </c>
      <c r="E418" s="3">
        <v>45962</v>
      </c>
      <c r="F418" s="3">
        <v>45967</v>
      </c>
      <c r="G418" s="3">
        <v>45974</v>
      </c>
      <c r="H418" s="23" t="str">
        <f t="shared" si="6"/>
        <v>Delivered</v>
      </c>
      <c r="I418" s="2" t="s">
        <v>17</v>
      </c>
      <c r="J418" s="24" t="s">
        <v>1054</v>
      </c>
      <c r="K418" s="3">
        <v>45995</v>
      </c>
      <c r="L418" s="2">
        <v>2</v>
      </c>
      <c r="M418" s="2">
        <v>5</v>
      </c>
      <c r="N418" s="2">
        <v>7</v>
      </c>
      <c r="O418" s="36">
        <v>4</v>
      </c>
      <c r="P418" s="24" t="str" cm="1">
        <f t="array" ref="P418">_xlfn.IFS(O418&lt;=6,"Detractors",AND(O418&gt;=7,O418&lt;=8),"Passives",AND(O418&gt;8,O418&lt;=10),"Promoters",O418="Not Available","NA")</f>
        <v>Detractors</v>
      </c>
    </row>
    <row r="419" spans="1:16" ht="14.25" customHeight="1" x14ac:dyDescent="0.3">
      <c r="A419" s="2" t="s">
        <v>445</v>
      </c>
      <c r="B419" s="2" t="s">
        <v>19</v>
      </c>
      <c r="C419" s="2" t="s">
        <v>16</v>
      </c>
      <c r="D419" s="3">
        <v>45934</v>
      </c>
      <c r="E419" s="3">
        <v>45937</v>
      </c>
      <c r="F419" s="3">
        <v>45940</v>
      </c>
      <c r="G419" s="3">
        <v>45943</v>
      </c>
      <c r="H419" s="23" t="str">
        <f t="shared" si="6"/>
        <v>Delivered</v>
      </c>
      <c r="I419" s="2" t="s">
        <v>17</v>
      </c>
      <c r="J419" s="24" t="s">
        <v>1054</v>
      </c>
      <c r="K419" s="3">
        <v>45953</v>
      </c>
      <c r="L419" s="2">
        <v>3</v>
      </c>
      <c r="M419" s="2">
        <v>3</v>
      </c>
      <c r="N419" s="2">
        <v>3</v>
      </c>
      <c r="O419" s="36">
        <v>10</v>
      </c>
      <c r="P419" s="24" t="str" cm="1">
        <f t="array" ref="P419">_xlfn.IFS(O419&lt;=6,"Detractors",AND(O419&gt;=7,O419&lt;=8),"Passives",AND(O419&gt;8,O419&lt;=10),"Promoters",O419="Not Available","NA")</f>
        <v>Promoters</v>
      </c>
    </row>
    <row r="420" spans="1:16" ht="14.25" customHeight="1" x14ac:dyDescent="0.3">
      <c r="A420" s="2" t="s">
        <v>446</v>
      </c>
      <c r="B420" s="2" t="s">
        <v>21</v>
      </c>
      <c r="C420" s="2" t="s">
        <v>16</v>
      </c>
      <c r="D420" s="3">
        <v>45945</v>
      </c>
      <c r="E420" s="3">
        <v>45950</v>
      </c>
      <c r="F420" s="3">
        <v>45952</v>
      </c>
      <c r="G420" s="3">
        <v>45957</v>
      </c>
      <c r="H420" s="23" t="str">
        <f t="shared" si="6"/>
        <v>Delivered</v>
      </c>
      <c r="I420" s="2" t="s">
        <v>17</v>
      </c>
      <c r="J420" s="24" t="s">
        <v>1054</v>
      </c>
      <c r="K420" s="3">
        <v>45977</v>
      </c>
      <c r="L420" s="2">
        <v>5</v>
      </c>
      <c r="M420" s="2">
        <v>2</v>
      </c>
      <c r="N420" s="2">
        <v>5</v>
      </c>
      <c r="O420" s="36">
        <v>9</v>
      </c>
      <c r="P420" s="24" t="str" cm="1">
        <f t="array" ref="P420">_xlfn.IFS(O420&lt;=6,"Detractors",AND(O420&gt;=7,O420&lt;=8),"Passives",AND(O420&gt;8,O420&lt;=10),"Promoters",O420="Not Available","NA")</f>
        <v>Promoters</v>
      </c>
    </row>
    <row r="421" spans="1:16" ht="14.25" customHeight="1" x14ac:dyDescent="0.3">
      <c r="A421" s="2" t="s">
        <v>447</v>
      </c>
      <c r="B421" s="2" t="s">
        <v>15</v>
      </c>
      <c r="C421" s="2" t="s">
        <v>16</v>
      </c>
      <c r="D421" s="3">
        <v>45961</v>
      </c>
      <c r="E421" s="3">
        <v>45965</v>
      </c>
      <c r="F421" s="3">
        <v>45970</v>
      </c>
      <c r="G421" s="3">
        <v>45976</v>
      </c>
      <c r="H421" s="23" t="str">
        <f t="shared" si="6"/>
        <v>Delivered</v>
      </c>
      <c r="I421" s="2" t="s">
        <v>17</v>
      </c>
      <c r="J421" s="24" t="s">
        <v>1054</v>
      </c>
      <c r="K421" s="3">
        <v>45995</v>
      </c>
      <c r="L421" s="2">
        <v>4</v>
      </c>
      <c r="M421" s="2">
        <v>5</v>
      </c>
      <c r="N421" s="2">
        <v>6</v>
      </c>
      <c r="O421" s="36">
        <v>5</v>
      </c>
      <c r="P421" s="24" t="str" cm="1">
        <f t="array" ref="P421">_xlfn.IFS(O421&lt;=6,"Detractors",AND(O421&gt;=7,O421&lt;=8),"Passives",AND(O421&gt;8,O421&lt;=10),"Promoters",O421="Not Available","NA")</f>
        <v>Detractors</v>
      </c>
    </row>
    <row r="422" spans="1:16" ht="14.25" customHeight="1" x14ac:dyDescent="0.3">
      <c r="A422" s="2" t="s">
        <v>448</v>
      </c>
      <c r="B422" s="2" t="s">
        <v>15</v>
      </c>
      <c r="C422" s="2" t="s">
        <v>16</v>
      </c>
      <c r="D422" s="3">
        <v>45934</v>
      </c>
      <c r="E422" s="3">
        <v>45938</v>
      </c>
      <c r="F422" s="3">
        <v>45941</v>
      </c>
      <c r="G422" s="3">
        <v>45948</v>
      </c>
      <c r="H422" s="23" t="str">
        <f t="shared" si="6"/>
        <v>Delivered</v>
      </c>
      <c r="I422" s="2" t="s">
        <v>17</v>
      </c>
      <c r="J422" s="24" t="s">
        <v>1054</v>
      </c>
      <c r="K422" s="3">
        <v>45967</v>
      </c>
      <c r="L422" s="2">
        <v>4</v>
      </c>
      <c r="M422" s="2">
        <v>3</v>
      </c>
      <c r="N422" s="2">
        <v>7</v>
      </c>
      <c r="O422" s="36">
        <v>1</v>
      </c>
      <c r="P422" s="24" t="str" cm="1">
        <f t="array" ref="P422">_xlfn.IFS(O422&lt;=6,"Detractors",AND(O422&gt;=7,O422&lt;=8),"Passives",AND(O422&gt;8,O422&lt;=10),"Promoters",O422="Not Available","NA")</f>
        <v>Detractors</v>
      </c>
    </row>
    <row r="423" spans="1:16" ht="14.25" customHeight="1" x14ac:dyDescent="0.3">
      <c r="A423" s="42" t="s">
        <v>449</v>
      </c>
      <c r="B423" s="2" t="s">
        <v>19</v>
      </c>
      <c r="C423" s="2" t="s">
        <v>30</v>
      </c>
      <c r="D423" s="3">
        <v>45951</v>
      </c>
      <c r="E423" s="3">
        <v>45954</v>
      </c>
      <c r="F423" s="3">
        <v>45959</v>
      </c>
      <c r="G423" s="3">
        <v>45964</v>
      </c>
      <c r="H423" s="23" t="str">
        <f t="shared" si="6"/>
        <v>Delivered</v>
      </c>
      <c r="I423" s="2" t="s">
        <v>17</v>
      </c>
      <c r="J423" s="24" t="s">
        <v>1054</v>
      </c>
      <c r="K423" s="3">
        <v>45982</v>
      </c>
      <c r="L423" s="2">
        <v>3</v>
      </c>
      <c r="M423" s="2">
        <v>5</v>
      </c>
      <c r="N423" s="2">
        <v>5</v>
      </c>
      <c r="O423" s="36">
        <v>7</v>
      </c>
      <c r="P423" s="24" t="str" cm="1">
        <f t="array" ref="P423">_xlfn.IFS(O423&lt;=6,"Detractors",AND(O423&gt;=7,O423&lt;=8),"Passives",AND(O423&gt;8,O423&lt;=10),"Promoters",O423="Not Available","NA")</f>
        <v>Passives</v>
      </c>
    </row>
    <row r="424" spans="1:16" ht="14.25" customHeight="1" x14ac:dyDescent="0.3">
      <c r="A424" s="2" t="s">
        <v>450</v>
      </c>
      <c r="B424" s="2" t="s">
        <v>32</v>
      </c>
      <c r="C424" s="2" t="s">
        <v>16</v>
      </c>
      <c r="D424" s="3">
        <v>45957</v>
      </c>
      <c r="E424" s="3">
        <v>45961</v>
      </c>
      <c r="F424" s="3">
        <v>45966</v>
      </c>
      <c r="G424" s="3">
        <v>45969</v>
      </c>
      <c r="H424" s="23" t="str">
        <f t="shared" si="6"/>
        <v>Delivered</v>
      </c>
      <c r="I424" s="2" t="s">
        <v>17</v>
      </c>
      <c r="J424" s="24" t="s">
        <v>1054</v>
      </c>
      <c r="K424" s="3">
        <v>45994</v>
      </c>
      <c r="L424" s="2">
        <v>4</v>
      </c>
      <c r="M424" s="2">
        <v>5</v>
      </c>
      <c r="N424" s="2">
        <v>3</v>
      </c>
      <c r="O424" s="36">
        <v>2</v>
      </c>
      <c r="P424" s="24" t="str" cm="1">
        <f t="array" ref="P424">_xlfn.IFS(O424&lt;=6,"Detractors",AND(O424&gt;=7,O424&lt;=8),"Passives",AND(O424&gt;8,O424&lt;=10),"Promoters",O424="Not Available","NA")</f>
        <v>Detractors</v>
      </c>
    </row>
    <row r="425" spans="1:16" ht="14.25" customHeight="1" x14ac:dyDescent="0.3">
      <c r="A425" s="2" t="s">
        <v>451</v>
      </c>
      <c r="B425" s="2" t="s">
        <v>32</v>
      </c>
      <c r="C425" s="2" t="s">
        <v>22</v>
      </c>
      <c r="D425" s="3">
        <v>45935</v>
      </c>
      <c r="H425" s="23" t="str">
        <f t="shared" si="6"/>
        <v>Not Delivered</v>
      </c>
      <c r="I425" s="2" t="s">
        <v>23</v>
      </c>
      <c r="J425" s="2" t="s">
        <v>101</v>
      </c>
      <c r="L425">
        <v>0</v>
      </c>
      <c r="M425">
        <v>0</v>
      </c>
      <c r="N425">
        <v>0</v>
      </c>
      <c r="O425" t="s">
        <v>1080</v>
      </c>
      <c r="P425" s="24" t="str" cm="1">
        <f t="array" ref="P425">_xlfn.IFS(O425&lt;=6,"Detractors",AND(O425&gt;=7,O425&lt;=8),"Passives",AND(O425&gt;8,O425&lt;=10),"Promoters",O425="Not Available","NA")</f>
        <v>NA</v>
      </c>
    </row>
    <row r="426" spans="1:16" ht="14.25" customHeight="1" x14ac:dyDescent="0.3">
      <c r="A426" s="2" t="s">
        <v>452</v>
      </c>
      <c r="B426" s="2" t="s">
        <v>19</v>
      </c>
      <c r="C426" s="2" t="s">
        <v>16</v>
      </c>
      <c r="D426" s="3">
        <v>45946</v>
      </c>
      <c r="E426" s="3">
        <v>45951</v>
      </c>
      <c r="F426" s="3">
        <v>45954</v>
      </c>
      <c r="G426" s="3">
        <v>45956</v>
      </c>
      <c r="H426" s="23" t="str">
        <f t="shared" si="6"/>
        <v>Delivered</v>
      </c>
      <c r="I426" s="2" t="s">
        <v>17</v>
      </c>
      <c r="J426" s="24" t="s">
        <v>1054</v>
      </c>
      <c r="K426" s="3">
        <v>45969</v>
      </c>
      <c r="L426" s="2">
        <v>5</v>
      </c>
      <c r="M426" s="2">
        <v>3</v>
      </c>
      <c r="N426" s="2">
        <v>2</v>
      </c>
      <c r="O426" s="36">
        <v>3</v>
      </c>
      <c r="P426" s="24" t="str" cm="1">
        <f t="array" ref="P426">_xlfn.IFS(O426&lt;=6,"Detractors",AND(O426&gt;=7,O426&lt;=8),"Passives",AND(O426&gt;8,O426&lt;=10),"Promoters",O426="Not Available","NA")</f>
        <v>Detractors</v>
      </c>
    </row>
    <row r="427" spans="1:16" ht="14.25" customHeight="1" x14ac:dyDescent="0.3">
      <c r="A427" s="42" t="s">
        <v>453</v>
      </c>
      <c r="B427" s="2" t="s">
        <v>19</v>
      </c>
      <c r="C427" s="2" t="s">
        <v>30</v>
      </c>
      <c r="D427" s="3">
        <v>45960</v>
      </c>
      <c r="E427" s="3">
        <v>45965</v>
      </c>
      <c r="F427" s="3">
        <v>45967</v>
      </c>
      <c r="G427" s="3">
        <v>45969</v>
      </c>
      <c r="H427" s="23" t="str">
        <f t="shared" si="6"/>
        <v>Delivered</v>
      </c>
      <c r="I427" s="2" t="s">
        <v>17</v>
      </c>
      <c r="J427" s="24" t="s">
        <v>1054</v>
      </c>
      <c r="K427" s="3">
        <v>45986</v>
      </c>
      <c r="L427" s="2">
        <v>5</v>
      </c>
      <c r="M427" s="2">
        <v>2</v>
      </c>
      <c r="N427" s="2">
        <v>2</v>
      </c>
      <c r="O427" s="36">
        <v>3</v>
      </c>
      <c r="P427" s="24" t="str" cm="1">
        <f t="array" ref="P427">_xlfn.IFS(O427&lt;=6,"Detractors",AND(O427&gt;=7,O427&lt;=8),"Passives",AND(O427&gt;8,O427&lt;=10),"Promoters",O427="Not Available","NA")</f>
        <v>Detractors</v>
      </c>
    </row>
    <row r="428" spans="1:16" ht="14.25" customHeight="1" x14ac:dyDescent="0.3">
      <c r="A428" s="2" t="s">
        <v>454</v>
      </c>
      <c r="B428" s="2" t="s">
        <v>15</v>
      </c>
      <c r="C428" s="2" t="s">
        <v>16</v>
      </c>
      <c r="D428" s="3">
        <v>45953</v>
      </c>
      <c r="E428" s="3">
        <v>45957</v>
      </c>
      <c r="F428" s="3">
        <v>45960</v>
      </c>
      <c r="G428" s="3">
        <v>45963</v>
      </c>
      <c r="H428" s="23" t="str">
        <f t="shared" si="6"/>
        <v>Delivered</v>
      </c>
      <c r="I428" s="2" t="s">
        <v>17</v>
      </c>
      <c r="J428" s="24" t="s">
        <v>1054</v>
      </c>
      <c r="K428" s="3">
        <v>45977</v>
      </c>
      <c r="L428" s="2">
        <v>4</v>
      </c>
      <c r="M428" s="2">
        <v>3</v>
      </c>
      <c r="N428" s="2">
        <v>3</v>
      </c>
      <c r="O428" s="36">
        <v>6</v>
      </c>
      <c r="P428" s="24" t="str" cm="1">
        <f t="array" ref="P428">_xlfn.IFS(O428&lt;=6,"Detractors",AND(O428&gt;=7,O428&lt;=8),"Passives",AND(O428&gt;8,O428&lt;=10),"Promoters",O428="Not Available","NA")</f>
        <v>Detractors</v>
      </c>
    </row>
    <row r="429" spans="1:16" ht="14.25" customHeight="1" x14ac:dyDescent="0.3">
      <c r="A429" s="2" t="s">
        <v>455</v>
      </c>
      <c r="B429" s="2" t="s">
        <v>32</v>
      </c>
      <c r="C429" s="2" t="s">
        <v>16</v>
      </c>
      <c r="D429" s="3">
        <v>45940</v>
      </c>
      <c r="E429" s="3">
        <v>45942</v>
      </c>
      <c r="F429" s="3">
        <v>45944</v>
      </c>
      <c r="G429" s="3">
        <v>45946</v>
      </c>
      <c r="H429" s="23" t="str">
        <f t="shared" si="6"/>
        <v>Delivered</v>
      </c>
      <c r="I429" s="2" t="s">
        <v>17</v>
      </c>
      <c r="J429" s="24" t="s">
        <v>1054</v>
      </c>
      <c r="K429" s="3">
        <v>45965</v>
      </c>
      <c r="L429" s="2">
        <v>2</v>
      </c>
      <c r="M429" s="2">
        <v>2</v>
      </c>
      <c r="N429" s="2">
        <v>2</v>
      </c>
      <c r="O429" s="36">
        <v>7</v>
      </c>
      <c r="P429" s="24" t="str" cm="1">
        <f t="array" ref="P429">_xlfn.IFS(O429&lt;=6,"Detractors",AND(O429&gt;=7,O429&lt;=8),"Passives",AND(O429&gt;8,O429&lt;=10),"Promoters",O429="Not Available","NA")</f>
        <v>Passives</v>
      </c>
    </row>
    <row r="430" spans="1:16" ht="14.25" customHeight="1" x14ac:dyDescent="0.3">
      <c r="A430" s="2" t="s">
        <v>456</v>
      </c>
      <c r="B430" s="2" t="s">
        <v>21</v>
      </c>
      <c r="C430" s="2" t="s">
        <v>16</v>
      </c>
      <c r="D430" s="3">
        <v>45947</v>
      </c>
      <c r="E430" s="3">
        <v>45949</v>
      </c>
      <c r="F430" s="3">
        <v>45954</v>
      </c>
      <c r="G430" s="3">
        <v>45960</v>
      </c>
      <c r="H430" s="23" t="str">
        <f t="shared" si="6"/>
        <v>Delivered</v>
      </c>
      <c r="I430" s="2" t="s">
        <v>17</v>
      </c>
      <c r="J430" s="24" t="s">
        <v>1054</v>
      </c>
      <c r="K430" s="3">
        <v>45984</v>
      </c>
      <c r="L430" s="2">
        <v>2</v>
      </c>
      <c r="M430" s="2">
        <v>5</v>
      </c>
      <c r="N430" s="2">
        <v>6</v>
      </c>
      <c r="O430" s="36">
        <v>8</v>
      </c>
      <c r="P430" s="24" t="str" cm="1">
        <f t="array" ref="P430">_xlfn.IFS(O430&lt;=6,"Detractors",AND(O430&gt;=7,O430&lt;=8),"Passives",AND(O430&gt;8,O430&lt;=10),"Promoters",O430="Not Available","NA")</f>
        <v>Passives</v>
      </c>
    </row>
    <row r="431" spans="1:16" ht="14.25" customHeight="1" x14ac:dyDescent="0.3">
      <c r="A431" s="42" t="s">
        <v>457</v>
      </c>
      <c r="B431" s="2" t="s">
        <v>15</v>
      </c>
      <c r="C431" s="2" t="s">
        <v>30</v>
      </c>
      <c r="D431" s="3">
        <v>45953</v>
      </c>
      <c r="E431" s="3">
        <v>45958</v>
      </c>
      <c r="F431" s="3">
        <v>45960</v>
      </c>
      <c r="G431" s="3">
        <v>45967</v>
      </c>
      <c r="H431" s="23" t="str">
        <f t="shared" si="6"/>
        <v>Delivered</v>
      </c>
      <c r="I431" s="2" t="s">
        <v>17</v>
      </c>
      <c r="J431" s="24" t="s">
        <v>1054</v>
      </c>
      <c r="K431" s="3">
        <v>45987</v>
      </c>
      <c r="L431" s="2">
        <v>5</v>
      </c>
      <c r="M431" s="2">
        <v>2</v>
      </c>
      <c r="N431" s="2">
        <v>7</v>
      </c>
      <c r="O431" s="36">
        <v>6</v>
      </c>
      <c r="P431" s="24" t="str" cm="1">
        <f t="array" ref="P431">_xlfn.IFS(O431&lt;=6,"Detractors",AND(O431&gt;=7,O431&lt;=8),"Passives",AND(O431&gt;8,O431&lt;=10),"Promoters",O431="Not Available","NA")</f>
        <v>Detractors</v>
      </c>
    </row>
    <row r="432" spans="1:16" ht="14.25" customHeight="1" x14ac:dyDescent="0.3">
      <c r="A432" s="42" t="s">
        <v>458</v>
      </c>
      <c r="B432" s="2" t="s">
        <v>19</v>
      </c>
      <c r="C432" s="2" t="s">
        <v>30</v>
      </c>
      <c r="D432" s="3">
        <v>45939</v>
      </c>
      <c r="E432" s="3">
        <v>45941</v>
      </c>
      <c r="F432" s="3">
        <v>45945</v>
      </c>
      <c r="G432" s="3">
        <v>45950</v>
      </c>
      <c r="H432" s="23" t="str">
        <f t="shared" si="6"/>
        <v>Delivered</v>
      </c>
      <c r="I432" s="2" t="s">
        <v>17</v>
      </c>
      <c r="J432" s="24" t="s">
        <v>1054</v>
      </c>
      <c r="K432" s="3">
        <v>45968</v>
      </c>
      <c r="L432" s="2">
        <v>2</v>
      </c>
      <c r="M432" s="2">
        <v>4</v>
      </c>
      <c r="N432" s="2">
        <v>5</v>
      </c>
      <c r="O432" s="36">
        <v>10</v>
      </c>
      <c r="P432" s="24" t="str" cm="1">
        <f t="array" ref="P432">_xlfn.IFS(O432&lt;=6,"Detractors",AND(O432&gt;=7,O432&lt;=8),"Passives",AND(O432&gt;8,O432&lt;=10),"Promoters",O432="Not Available","NA")</f>
        <v>Promoters</v>
      </c>
    </row>
    <row r="433" spans="1:16" ht="14.25" customHeight="1" x14ac:dyDescent="0.3">
      <c r="A433" s="42" t="s">
        <v>459</v>
      </c>
      <c r="B433" s="2" t="s">
        <v>32</v>
      </c>
      <c r="C433" s="2" t="s">
        <v>30</v>
      </c>
      <c r="D433" s="3">
        <v>45944</v>
      </c>
      <c r="E433" s="3">
        <v>45947</v>
      </c>
      <c r="F433" s="3">
        <v>45950</v>
      </c>
      <c r="G433" s="3">
        <v>45954</v>
      </c>
      <c r="H433" s="23" t="str">
        <f t="shared" si="6"/>
        <v>Delivered</v>
      </c>
      <c r="I433" s="2" t="s">
        <v>17</v>
      </c>
      <c r="J433" s="24" t="s">
        <v>1054</v>
      </c>
      <c r="K433" s="3">
        <v>45977</v>
      </c>
      <c r="L433" s="2">
        <v>3</v>
      </c>
      <c r="M433" s="2">
        <v>3</v>
      </c>
      <c r="N433" s="2">
        <v>4</v>
      </c>
      <c r="O433" s="36">
        <v>4</v>
      </c>
      <c r="P433" s="24" t="str" cm="1">
        <f t="array" ref="P433">_xlfn.IFS(O433&lt;=6,"Detractors",AND(O433&gt;=7,O433&lt;=8),"Passives",AND(O433&gt;8,O433&lt;=10),"Promoters",O433="Not Available","NA")</f>
        <v>Detractors</v>
      </c>
    </row>
    <row r="434" spans="1:16" ht="14.25" customHeight="1" x14ac:dyDescent="0.3">
      <c r="A434" s="2" t="s">
        <v>460</v>
      </c>
      <c r="B434" s="2" t="s">
        <v>21</v>
      </c>
      <c r="C434" s="2" t="s">
        <v>22</v>
      </c>
      <c r="D434" s="3">
        <v>45957</v>
      </c>
      <c r="H434" s="23" t="str">
        <f t="shared" si="6"/>
        <v>Not Delivered</v>
      </c>
      <c r="I434" s="2" t="s">
        <v>23</v>
      </c>
      <c r="J434" s="2" t="s">
        <v>24</v>
      </c>
      <c r="L434">
        <v>0</v>
      </c>
      <c r="M434">
        <v>0</v>
      </c>
      <c r="N434">
        <v>0</v>
      </c>
      <c r="O434" t="s">
        <v>1080</v>
      </c>
      <c r="P434" s="24" t="str" cm="1">
        <f t="array" ref="P434">_xlfn.IFS(O434&lt;=6,"Detractors",AND(O434&gt;=7,O434&lt;=8),"Passives",AND(O434&gt;8,O434&lt;=10),"Promoters",O434="Not Available","NA")</f>
        <v>NA</v>
      </c>
    </row>
    <row r="435" spans="1:16" ht="14.25" customHeight="1" x14ac:dyDescent="0.3">
      <c r="A435" s="2" t="s">
        <v>461</v>
      </c>
      <c r="B435" s="2" t="s">
        <v>21</v>
      </c>
      <c r="C435" s="2" t="s">
        <v>16</v>
      </c>
      <c r="D435" s="3">
        <v>45946</v>
      </c>
      <c r="E435" s="3">
        <v>45947</v>
      </c>
      <c r="F435" s="3">
        <v>45950</v>
      </c>
      <c r="G435" s="3">
        <v>45955</v>
      </c>
      <c r="H435" s="23" t="str">
        <f t="shared" si="6"/>
        <v>Delivered</v>
      </c>
      <c r="I435" s="2" t="s">
        <v>17</v>
      </c>
      <c r="J435" s="24" t="s">
        <v>1054</v>
      </c>
      <c r="K435" s="3">
        <v>45984</v>
      </c>
      <c r="L435" s="2">
        <v>1</v>
      </c>
      <c r="M435" s="2">
        <v>3</v>
      </c>
      <c r="N435" s="2">
        <v>5</v>
      </c>
      <c r="O435" s="36">
        <v>1</v>
      </c>
      <c r="P435" s="24" t="str" cm="1">
        <f t="array" ref="P435">_xlfn.IFS(O435&lt;=6,"Detractors",AND(O435&gt;=7,O435&lt;=8),"Passives",AND(O435&gt;8,O435&lt;=10),"Promoters",O435="Not Available","NA")</f>
        <v>Detractors</v>
      </c>
    </row>
    <row r="436" spans="1:16" ht="14.25" customHeight="1" x14ac:dyDescent="0.3">
      <c r="A436" s="42" t="s">
        <v>462</v>
      </c>
      <c r="B436" s="2" t="s">
        <v>15</v>
      </c>
      <c r="C436" s="2" t="s">
        <v>30</v>
      </c>
      <c r="D436" s="3">
        <v>45946</v>
      </c>
      <c r="E436" s="3">
        <v>45950</v>
      </c>
      <c r="F436" s="3">
        <v>45951</v>
      </c>
      <c r="G436" s="3">
        <v>45955</v>
      </c>
      <c r="H436" s="23" t="str">
        <f t="shared" si="6"/>
        <v>Delivered</v>
      </c>
      <c r="I436" s="2" t="s">
        <v>17</v>
      </c>
      <c r="J436" s="24" t="s">
        <v>1054</v>
      </c>
      <c r="K436" s="3">
        <v>45985</v>
      </c>
      <c r="L436" s="2">
        <v>4</v>
      </c>
      <c r="M436" s="2">
        <v>1</v>
      </c>
      <c r="N436" s="2">
        <v>4</v>
      </c>
      <c r="O436" s="36">
        <v>3</v>
      </c>
      <c r="P436" s="24" t="str" cm="1">
        <f t="array" ref="P436">_xlfn.IFS(O436&lt;=6,"Detractors",AND(O436&gt;=7,O436&lt;=8),"Passives",AND(O436&gt;8,O436&lt;=10),"Promoters",O436="Not Available","NA")</f>
        <v>Detractors</v>
      </c>
    </row>
    <row r="437" spans="1:16" ht="14.25" customHeight="1" x14ac:dyDescent="0.3">
      <c r="A437" s="42" t="s">
        <v>463</v>
      </c>
      <c r="B437" s="2" t="s">
        <v>32</v>
      </c>
      <c r="C437" s="2" t="s">
        <v>30</v>
      </c>
      <c r="D437" s="3">
        <v>45938</v>
      </c>
      <c r="E437" s="3">
        <v>45941</v>
      </c>
      <c r="F437" s="3">
        <v>45946</v>
      </c>
      <c r="G437" s="3">
        <v>45949</v>
      </c>
      <c r="H437" s="23" t="str">
        <f t="shared" si="6"/>
        <v>Delivered</v>
      </c>
      <c r="I437" s="2" t="s">
        <v>17</v>
      </c>
      <c r="J437" s="24" t="s">
        <v>1054</v>
      </c>
      <c r="K437" s="3">
        <v>45961</v>
      </c>
      <c r="L437" s="2">
        <v>3</v>
      </c>
      <c r="M437" s="2">
        <v>5</v>
      </c>
      <c r="N437" s="2">
        <v>3</v>
      </c>
      <c r="O437" s="36">
        <v>7</v>
      </c>
      <c r="P437" s="24" t="str" cm="1">
        <f t="array" ref="P437">_xlfn.IFS(O437&lt;=6,"Detractors",AND(O437&gt;=7,O437&lt;=8),"Passives",AND(O437&gt;8,O437&lt;=10),"Promoters",O437="Not Available","NA")</f>
        <v>Passives</v>
      </c>
    </row>
    <row r="438" spans="1:16" ht="14.25" customHeight="1" x14ac:dyDescent="0.3">
      <c r="A438" s="2" t="s">
        <v>464</v>
      </c>
      <c r="B438" s="2" t="s">
        <v>32</v>
      </c>
      <c r="C438" s="2" t="s">
        <v>16</v>
      </c>
      <c r="D438" s="3">
        <v>45945</v>
      </c>
      <c r="E438" s="3">
        <v>45950</v>
      </c>
      <c r="F438" s="3">
        <v>45955</v>
      </c>
      <c r="G438" s="3">
        <v>45958</v>
      </c>
      <c r="H438" s="23" t="str">
        <f t="shared" si="6"/>
        <v>Delivered</v>
      </c>
      <c r="I438" s="2" t="s">
        <v>17</v>
      </c>
      <c r="J438" s="24" t="s">
        <v>1054</v>
      </c>
      <c r="K438" s="3">
        <v>45974</v>
      </c>
      <c r="L438" s="2">
        <v>5</v>
      </c>
      <c r="M438" s="2">
        <v>5</v>
      </c>
      <c r="N438" s="2">
        <v>3</v>
      </c>
      <c r="O438" s="36">
        <v>3</v>
      </c>
      <c r="P438" s="24" t="str" cm="1">
        <f t="array" ref="P438">_xlfn.IFS(O438&lt;=6,"Detractors",AND(O438&gt;=7,O438&lt;=8),"Passives",AND(O438&gt;8,O438&lt;=10),"Promoters",O438="Not Available","NA")</f>
        <v>Detractors</v>
      </c>
    </row>
    <row r="439" spans="1:16" ht="14.25" customHeight="1" x14ac:dyDescent="0.3">
      <c r="A439" s="42" t="s">
        <v>465</v>
      </c>
      <c r="B439" s="2" t="s">
        <v>19</v>
      </c>
      <c r="C439" s="2" t="s">
        <v>30</v>
      </c>
      <c r="D439" s="3">
        <v>45948</v>
      </c>
      <c r="E439" s="3">
        <v>45949</v>
      </c>
      <c r="F439" s="3">
        <v>45951</v>
      </c>
      <c r="G439" s="3">
        <v>45955</v>
      </c>
      <c r="H439" s="23" t="str">
        <f t="shared" si="6"/>
        <v>Delivered</v>
      </c>
      <c r="I439" s="2" t="s">
        <v>17</v>
      </c>
      <c r="J439" s="24" t="s">
        <v>1054</v>
      </c>
      <c r="K439" s="3">
        <v>45979</v>
      </c>
      <c r="L439" s="2">
        <v>1</v>
      </c>
      <c r="M439" s="2">
        <v>2</v>
      </c>
      <c r="N439" s="2">
        <v>4</v>
      </c>
      <c r="O439" s="36">
        <v>8</v>
      </c>
      <c r="P439" s="24" t="str" cm="1">
        <f t="array" ref="P439">_xlfn.IFS(O439&lt;=6,"Detractors",AND(O439&gt;=7,O439&lt;=8),"Passives",AND(O439&gt;8,O439&lt;=10),"Promoters",O439="Not Available","NA")</f>
        <v>Passives</v>
      </c>
    </row>
    <row r="440" spans="1:16" ht="14.25" customHeight="1" x14ac:dyDescent="0.3">
      <c r="A440" s="42" t="s">
        <v>466</v>
      </c>
      <c r="B440" s="2" t="s">
        <v>32</v>
      </c>
      <c r="C440" s="2" t="s">
        <v>30</v>
      </c>
      <c r="D440" s="3">
        <v>45935</v>
      </c>
      <c r="E440" s="3">
        <v>45940</v>
      </c>
      <c r="F440" s="3">
        <v>45944</v>
      </c>
      <c r="G440" s="3">
        <v>45951</v>
      </c>
      <c r="H440" s="23" t="str">
        <f t="shared" si="6"/>
        <v>Delivered</v>
      </c>
      <c r="I440" s="2" t="s">
        <v>17</v>
      </c>
      <c r="J440" s="24" t="s">
        <v>1054</v>
      </c>
      <c r="K440" s="3">
        <v>45967</v>
      </c>
      <c r="L440" s="2">
        <v>5</v>
      </c>
      <c r="M440" s="2">
        <v>4</v>
      </c>
      <c r="N440" s="2">
        <v>7</v>
      </c>
      <c r="O440" s="36">
        <v>7</v>
      </c>
      <c r="P440" s="24" t="str" cm="1">
        <f t="array" ref="P440">_xlfn.IFS(O440&lt;=6,"Detractors",AND(O440&gt;=7,O440&lt;=8),"Passives",AND(O440&gt;8,O440&lt;=10),"Promoters",O440="Not Available","NA")</f>
        <v>Passives</v>
      </c>
    </row>
    <row r="441" spans="1:16" ht="14.25" customHeight="1" x14ac:dyDescent="0.3">
      <c r="A441" s="2" t="s">
        <v>467</v>
      </c>
      <c r="B441" s="2" t="s">
        <v>32</v>
      </c>
      <c r="C441" s="2" t="s">
        <v>22</v>
      </c>
      <c r="D441" s="3">
        <v>45943</v>
      </c>
      <c r="H441" s="23" t="str">
        <f t="shared" si="6"/>
        <v>Not Delivered</v>
      </c>
      <c r="I441" s="2" t="s">
        <v>23</v>
      </c>
      <c r="J441" s="2" t="s">
        <v>101</v>
      </c>
      <c r="L441">
        <v>0</v>
      </c>
      <c r="M441">
        <v>0</v>
      </c>
      <c r="N441">
        <v>0</v>
      </c>
      <c r="O441" t="s">
        <v>1080</v>
      </c>
      <c r="P441" s="24" t="str" cm="1">
        <f t="array" ref="P441">_xlfn.IFS(O441&lt;=6,"Detractors",AND(O441&gt;=7,O441&lt;=8),"Passives",AND(O441&gt;8,O441&lt;=10),"Promoters",O441="Not Available","NA")</f>
        <v>NA</v>
      </c>
    </row>
    <row r="442" spans="1:16" ht="14.25" customHeight="1" x14ac:dyDescent="0.3">
      <c r="A442" s="42" t="s">
        <v>468</v>
      </c>
      <c r="B442" s="2" t="s">
        <v>15</v>
      </c>
      <c r="C442" s="2" t="s">
        <v>30</v>
      </c>
      <c r="D442" s="3">
        <v>45937</v>
      </c>
      <c r="E442" s="3">
        <v>45938</v>
      </c>
      <c r="F442" s="3">
        <v>45943</v>
      </c>
      <c r="G442" s="3">
        <v>45945</v>
      </c>
      <c r="H442" s="23" t="str">
        <f t="shared" si="6"/>
        <v>Delivered</v>
      </c>
      <c r="I442" s="2" t="s">
        <v>17</v>
      </c>
      <c r="J442" s="24" t="s">
        <v>1054</v>
      </c>
      <c r="K442" s="3">
        <v>45968</v>
      </c>
      <c r="L442" s="2">
        <v>1</v>
      </c>
      <c r="M442" s="2">
        <v>5</v>
      </c>
      <c r="N442" s="2">
        <v>2</v>
      </c>
      <c r="O442" s="36">
        <v>1</v>
      </c>
      <c r="P442" s="24" t="str" cm="1">
        <f t="array" ref="P442">_xlfn.IFS(O442&lt;=6,"Detractors",AND(O442&gt;=7,O442&lt;=8),"Passives",AND(O442&gt;8,O442&lt;=10),"Promoters",O442="Not Available","NA")</f>
        <v>Detractors</v>
      </c>
    </row>
    <row r="443" spans="1:16" ht="14.25" customHeight="1" x14ac:dyDescent="0.3">
      <c r="A443" s="2" t="s">
        <v>469</v>
      </c>
      <c r="B443" s="2" t="s">
        <v>32</v>
      </c>
      <c r="C443" s="2" t="s">
        <v>16</v>
      </c>
      <c r="D443" s="3">
        <v>45960</v>
      </c>
      <c r="E443" s="3">
        <v>45963</v>
      </c>
      <c r="F443" s="3">
        <v>45967</v>
      </c>
      <c r="G443" s="3">
        <v>45970</v>
      </c>
      <c r="H443" s="23" t="str">
        <f t="shared" si="6"/>
        <v>Delivered</v>
      </c>
      <c r="I443" s="2" t="s">
        <v>17</v>
      </c>
      <c r="J443" s="24" t="s">
        <v>1054</v>
      </c>
      <c r="K443" s="3">
        <v>45995</v>
      </c>
      <c r="L443" s="2">
        <v>3</v>
      </c>
      <c r="M443" s="2">
        <v>4</v>
      </c>
      <c r="N443" s="2">
        <v>3</v>
      </c>
      <c r="O443" s="36">
        <v>8</v>
      </c>
      <c r="P443" s="24" t="str" cm="1">
        <f t="array" ref="P443">_xlfn.IFS(O443&lt;=6,"Detractors",AND(O443&gt;=7,O443&lt;=8),"Passives",AND(O443&gt;8,O443&lt;=10),"Promoters",O443="Not Available","NA")</f>
        <v>Passives</v>
      </c>
    </row>
    <row r="444" spans="1:16" ht="14.25" customHeight="1" x14ac:dyDescent="0.3">
      <c r="A444" s="2" t="s">
        <v>470</v>
      </c>
      <c r="B444" s="2" t="s">
        <v>21</v>
      </c>
      <c r="C444" s="2" t="s">
        <v>22</v>
      </c>
      <c r="D444" s="3">
        <v>45950</v>
      </c>
      <c r="H444" s="23" t="str">
        <f t="shared" si="6"/>
        <v>Not Delivered</v>
      </c>
      <c r="I444" s="2" t="s">
        <v>23</v>
      </c>
      <c r="J444" s="2" t="s">
        <v>33</v>
      </c>
      <c r="L444">
        <v>0</v>
      </c>
      <c r="M444">
        <v>0</v>
      </c>
      <c r="N444">
        <v>0</v>
      </c>
      <c r="O444" t="s">
        <v>1080</v>
      </c>
      <c r="P444" s="24" t="str" cm="1">
        <f t="array" ref="P444">_xlfn.IFS(O444&lt;=6,"Detractors",AND(O444&gt;=7,O444&lt;=8),"Passives",AND(O444&gt;8,O444&lt;=10),"Promoters",O444="Not Available","NA")</f>
        <v>NA</v>
      </c>
    </row>
    <row r="445" spans="1:16" ht="14.25" customHeight="1" x14ac:dyDescent="0.3">
      <c r="A445" s="2" t="s">
        <v>471</v>
      </c>
      <c r="B445" s="2" t="s">
        <v>15</v>
      </c>
      <c r="C445" s="2" t="s">
        <v>16</v>
      </c>
      <c r="D445" s="3">
        <v>45947</v>
      </c>
      <c r="E445" s="3">
        <v>45948</v>
      </c>
      <c r="F445" s="3">
        <v>45949</v>
      </c>
      <c r="G445" s="3">
        <v>45955</v>
      </c>
      <c r="H445" s="23" t="str">
        <f t="shared" si="6"/>
        <v>Delivered</v>
      </c>
      <c r="I445" s="2" t="s">
        <v>17</v>
      </c>
      <c r="J445" s="24" t="s">
        <v>1054</v>
      </c>
      <c r="K445" s="3">
        <v>45981</v>
      </c>
      <c r="L445" s="2">
        <v>1</v>
      </c>
      <c r="M445" s="2">
        <v>1</v>
      </c>
      <c r="N445" s="2">
        <v>6</v>
      </c>
      <c r="O445" s="36">
        <v>6</v>
      </c>
      <c r="P445" s="24" t="str" cm="1">
        <f t="array" ref="P445">_xlfn.IFS(O445&lt;=6,"Detractors",AND(O445&gt;=7,O445&lt;=8),"Passives",AND(O445&gt;8,O445&lt;=10),"Promoters",O445="Not Available","NA")</f>
        <v>Detractors</v>
      </c>
    </row>
    <row r="446" spans="1:16" ht="14.25" customHeight="1" x14ac:dyDescent="0.3">
      <c r="A446" s="2" t="s">
        <v>472</v>
      </c>
      <c r="B446" s="2" t="s">
        <v>15</v>
      </c>
      <c r="C446" s="2" t="s">
        <v>30</v>
      </c>
      <c r="D446" s="3">
        <v>45954</v>
      </c>
      <c r="E446" s="3">
        <v>45956</v>
      </c>
      <c r="F446" s="3">
        <v>45959</v>
      </c>
      <c r="G446" s="3">
        <v>45965</v>
      </c>
      <c r="H446" s="23" t="str">
        <f t="shared" si="6"/>
        <v>Delivered</v>
      </c>
      <c r="I446" s="2" t="s">
        <v>23</v>
      </c>
      <c r="J446" s="2" t="s">
        <v>24</v>
      </c>
      <c r="L446" s="2">
        <v>2</v>
      </c>
      <c r="M446" s="2">
        <v>3</v>
      </c>
      <c r="N446" s="2">
        <v>6</v>
      </c>
      <c r="O446" t="s">
        <v>1080</v>
      </c>
      <c r="P446" s="24" t="str" cm="1">
        <f t="array" ref="P446">_xlfn.IFS(O446&lt;=6,"Detractors",AND(O446&gt;=7,O446&lt;=8),"Passives",AND(O446&gt;8,O446&lt;=10),"Promoters",O446="Not Available","NA")</f>
        <v>NA</v>
      </c>
    </row>
    <row r="447" spans="1:16" ht="14.25" customHeight="1" x14ac:dyDescent="0.3">
      <c r="A447" s="42" t="s">
        <v>473</v>
      </c>
      <c r="B447" s="2" t="s">
        <v>19</v>
      </c>
      <c r="C447" s="2" t="s">
        <v>30</v>
      </c>
      <c r="D447" s="3">
        <v>45959</v>
      </c>
      <c r="E447" s="3">
        <v>45962</v>
      </c>
      <c r="F447" s="3">
        <v>45966</v>
      </c>
      <c r="G447" s="3">
        <v>45972</v>
      </c>
      <c r="H447" s="23" t="str">
        <f t="shared" si="6"/>
        <v>Delivered</v>
      </c>
      <c r="I447" s="2" t="s">
        <v>17</v>
      </c>
      <c r="J447" s="24" t="s">
        <v>1054</v>
      </c>
      <c r="K447" s="3">
        <v>45993</v>
      </c>
      <c r="L447" s="2">
        <v>3</v>
      </c>
      <c r="M447" s="2">
        <v>4</v>
      </c>
      <c r="N447" s="2">
        <v>6</v>
      </c>
      <c r="O447" s="36">
        <v>3</v>
      </c>
      <c r="P447" s="24" t="str" cm="1">
        <f t="array" ref="P447">_xlfn.IFS(O447&lt;=6,"Detractors",AND(O447&gt;=7,O447&lt;=8),"Passives",AND(O447&gt;8,O447&lt;=10),"Promoters",O447="Not Available","NA")</f>
        <v>Detractors</v>
      </c>
    </row>
    <row r="448" spans="1:16" ht="14.25" customHeight="1" x14ac:dyDescent="0.3">
      <c r="A448" s="2" t="s">
        <v>474</v>
      </c>
      <c r="B448" s="2" t="s">
        <v>32</v>
      </c>
      <c r="C448" s="2" t="s">
        <v>22</v>
      </c>
      <c r="D448" s="3">
        <v>45935</v>
      </c>
      <c r="H448" s="23" t="str">
        <f t="shared" si="6"/>
        <v>Not Delivered</v>
      </c>
      <c r="I448" s="2" t="s">
        <v>23</v>
      </c>
      <c r="J448" s="2" t="s">
        <v>101</v>
      </c>
      <c r="L448">
        <v>0</v>
      </c>
      <c r="M448">
        <v>0</v>
      </c>
      <c r="N448">
        <v>0</v>
      </c>
      <c r="O448" t="s">
        <v>1080</v>
      </c>
      <c r="P448" s="24" t="str" cm="1">
        <f t="array" ref="P448">_xlfn.IFS(O448&lt;=6,"Detractors",AND(O448&gt;=7,O448&lt;=8),"Passives",AND(O448&gt;8,O448&lt;=10),"Promoters",O448="Not Available","NA")</f>
        <v>NA</v>
      </c>
    </row>
    <row r="449" spans="1:16" ht="14.25" customHeight="1" x14ac:dyDescent="0.3">
      <c r="A449" s="2" t="s">
        <v>475</v>
      </c>
      <c r="B449" s="2" t="s">
        <v>19</v>
      </c>
      <c r="C449" s="2" t="s">
        <v>22</v>
      </c>
      <c r="D449" s="3">
        <v>45958</v>
      </c>
      <c r="H449" s="23" t="str">
        <f t="shared" si="6"/>
        <v>Not Delivered</v>
      </c>
      <c r="I449" s="2" t="s">
        <v>23</v>
      </c>
      <c r="J449" s="2" t="s">
        <v>26</v>
      </c>
      <c r="L449">
        <v>0</v>
      </c>
      <c r="M449">
        <v>0</v>
      </c>
      <c r="N449">
        <v>0</v>
      </c>
      <c r="O449" t="s">
        <v>1080</v>
      </c>
      <c r="P449" s="24" t="str" cm="1">
        <f t="array" ref="P449">_xlfn.IFS(O449&lt;=6,"Detractors",AND(O449&gt;=7,O449&lt;=8),"Passives",AND(O449&gt;8,O449&lt;=10),"Promoters",O449="Not Available","NA")</f>
        <v>NA</v>
      </c>
    </row>
    <row r="450" spans="1:16" ht="14.25" customHeight="1" x14ac:dyDescent="0.3">
      <c r="A450" s="2" t="s">
        <v>476</v>
      </c>
      <c r="B450" s="2" t="s">
        <v>21</v>
      </c>
      <c r="C450" s="2" t="s">
        <v>16</v>
      </c>
      <c r="D450" s="3">
        <v>45933</v>
      </c>
      <c r="E450" s="3">
        <v>45937</v>
      </c>
      <c r="F450" s="3">
        <v>45942</v>
      </c>
      <c r="G450" s="3">
        <v>45949</v>
      </c>
      <c r="H450" s="23" t="str">
        <f t="shared" si="6"/>
        <v>Delivered</v>
      </c>
      <c r="I450" s="2" t="s">
        <v>17</v>
      </c>
      <c r="J450" s="24" t="s">
        <v>1054</v>
      </c>
      <c r="K450" s="3">
        <v>45960</v>
      </c>
      <c r="L450" s="2">
        <v>4</v>
      </c>
      <c r="M450" s="2">
        <v>5</v>
      </c>
      <c r="N450" s="2">
        <v>7</v>
      </c>
      <c r="O450" s="36">
        <v>3</v>
      </c>
      <c r="P450" s="24" t="str" cm="1">
        <f t="array" ref="P450">_xlfn.IFS(O450&lt;=6,"Detractors",AND(O450&gt;=7,O450&lt;=8),"Passives",AND(O450&gt;8,O450&lt;=10),"Promoters",O450="Not Available","NA")</f>
        <v>Detractors</v>
      </c>
    </row>
    <row r="451" spans="1:16" ht="14.25" customHeight="1" x14ac:dyDescent="0.3">
      <c r="A451" s="42" t="s">
        <v>477</v>
      </c>
      <c r="B451" s="2" t="s">
        <v>15</v>
      </c>
      <c r="C451" s="2" t="s">
        <v>30</v>
      </c>
      <c r="D451" s="3">
        <v>45939</v>
      </c>
      <c r="E451" s="3">
        <v>45944</v>
      </c>
      <c r="F451" s="3">
        <v>45947</v>
      </c>
      <c r="G451" s="3">
        <v>45953</v>
      </c>
      <c r="H451" s="23" t="str">
        <f t="shared" ref="H451:H514" si="7">IF(G451="", "Not Delivered", "Delivered")</f>
        <v>Delivered</v>
      </c>
      <c r="I451" s="2" t="s">
        <v>17</v>
      </c>
      <c r="J451" s="24" t="s">
        <v>1054</v>
      </c>
      <c r="K451" s="3">
        <v>45979</v>
      </c>
      <c r="L451" s="2">
        <v>5</v>
      </c>
      <c r="M451" s="2">
        <v>3</v>
      </c>
      <c r="N451" s="2">
        <v>6</v>
      </c>
      <c r="O451" s="36">
        <v>3</v>
      </c>
      <c r="P451" s="24" t="str" cm="1">
        <f t="array" ref="P451">_xlfn.IFS(O451&lt;=6,"Detractors",AND(O451&gt;=7,O451&lt;=8),"Passives",AND(O451&gt;8,O451&lt;=10),"Promoters",O451="Not Available","NA")</f>
        <v>Detractors</v>
      </c>
    </row>
    <row r="452" spans="1:16" ht="14.25" customHeight="1" x14ac:dyDescent="0.3">
      <c r="A452" s="2" t="s">
        <v>478</v>
      </c>
      <c r="B452" s="2" t="s">
        <v>15</v>
      </c>
      <c r="C452" s="2" t="s">
        <v>16</v>
      </c>
      <c r="D452" s="3">
        <v>45955</v>
      </c>
      <c r="E452" s="3">
        <v>45957</v>
      </c>
      <c r="F452" s="3">
        <v>45961</v>
      </c>
      <c r="G452" s="3">
        <v>45965</v>
      </c>
      <c r="H452" s="23" t="str">
        <f t="shared" si="7"/>
        <v>Delivered</v>
      </c>
      <c r="I452" s="2" t="s">
        <v>17</v>
      </c>
      <c r="J452" s="24" t="s">
        <v>1054</v>
      </c>
      <c r="K452" s="3">
        <v>45980</v>
      </c>
      <c r="L452" s="2">
        <v>2</v>
      </c>
      <c r="M452" s="2">
        <v>4</v>
      </c>
      <c r="N452" s="2">
        <v>4</v>
      </c>
      <c r="O452" s="36">
        <v>0</v>
      </c>
      <c r="P452" s="24" t="str" cm="1">
        <f t="array" ref="P452">_xlfn.IFS(O452&lt;=6,"Detractors",AND(O452&gt;=7,O452&lt;=8),"Passives",AND(O452&gt;8,O452&lt;=10),"Promoters",O452="Not Available","NA")</f>
        <v>Detractors</v>
      </c>
    </row>
    <row r="453" spans="1:16" ht="14.25" customHeight="1" x14ac:dyDescent="0.3">
      <c r="A453" s="2" t="s">
        <v>479</v>
      </c>
      <c r="B453" s="2" t="s">
        <v>15</v>
      </c>
      <c r="C453" s="2" t="s">
        <v>22</v>
      </c>
      <c r="D453" s="3">
        <v>45956</v>
      </c>
      <c r="H453" s="23" t="str">
        <f t="shared" si="7"/>
        <v>Not Delivered</v>
      </c>
      <c r="I453" s="2" t="s">
        <v>23</v>
      </c>
      <c r="J453" s="2" t="s">
        <v>24</v>
      </c>
      <c r="L453">
        <v>0</v>
      </c>
      <c r="M453">
        <v>0</v>
      </c>
      <c r="N453">
        <v>0</v>
      </c>
      <c r="O453" t="s">
        <v>1080</v>
      </c>
      <c r="P453" s="24" t="str" cm="1">
        <f t="array" ref="P453">_xlfn.IFS(O453&lt;=6,"Detractors",AND(O453&gt;=7,O453&lt;=8),"Passives",AND(O453&gt;8,O453&lt;=10),"Promoters",O453="Not Available","NA")</f>
        <v>NA</v>
      </c>
    </row>
    <row r="454" spans="1:16" ht="14.25" customHeight="1" x14ac:dyDescent="0.3">
      <c r="A454" s="2" t="s">
        <v>480</v>
      </c>
      <c r="B454" s="2" t="s">
        <v>21</v>
      </c>
      <c r="C454" s="2" t="s">
        <v>16</v>
      </c>
      <c r="D454" s="3">
        <v>45958</v>
      </c>
      <c r="E454" s="3">
        <v>45962</v>
      </c>
      <c r="F454" s="3">
        <v>45966</v>
      </c>
      <c r="G454" s="3">
        <v>45973</v>
      </c>
      <c r="H454" s="23" t="str">
        <f t="shared" si="7"/>
        <v>Delivered</v>
      </c>
      <c r="I454" s="2" t="s">
        <v>17</v>
      </c>
      <c r="J454" s="24" t="s">
        <v>1054</v>
      </c>
      <c r="K454" s="3">
        <v>45985</v>
      </c>
      <c r="L454" s="2">
        <v>4</v>
      </c>
      <c r="M454" s="2">
        <v>4</v>
      </c>
      <c r="N454" s="2">
        <v>7</v>
      </c>
      <c r="O454" s="36">
        <v>4</v>
      </c>
      <c r="P454" s="24" t="str" cm="1">
        <f t="array" ref="P454">_xlfn.IFS(O454&lt;=6,"Detractors",AND(O454&gt;=7,O454&lt;=8),"Passives",AND(O454&gt;8,O454&lt;=10),"Promoters",O454="Not Available","NA")</f>
        <v>Detractors</v>
      </c>
    </row>
    <row r="455" spans="1:16" ht="14.25" customHeight="1" x14ac:dyDescent="0.3">
      <c r="A455" s="2" t="s">
        <v>481</v>
      </c>
      <c r="B455" s="2" t="s">
        <v>21</v>
      </c>
      <c r="C455" s="2" t="s">
        <v>22</v>
      </c>
      <c r="D455" s="3">
        <v>45944</v>
      </c>
      <c r="H455" s="23" t="str">
        <f t="shared" si="7"/>
        <v>Not Delivered</v>
      </c>
      <c r="I455" s="2" t="s">
        <v>23</v>
      </c>
      <c r="J455" s="2" t="s">
        <v>24</v>
      </c>
      <c r="L455">
        <v>0</v>
      </c>
      <c r="M455">
        <v>0</v>
      </c>
      <c r="N455">
        <v>0</v>
      </c>
      <c r="O455" t="s">
        <v>1080</v>
      </c>
      <c r="P455" s="24" t="str" cm="1">
        <f t="array" ref="P455">_xlfn.IFS(O455&lt;=6,"Detractors",AND(O455&gt;=7,O455&lt;=8),"Passives",AND(O455&gt;8,O455&lt;=10),"Promoters",O455="Not Available","NA")</f>
        <v>NA</v>
      </c>
    </row>
    <row r="456" spans="1:16" ht="14.25" customHeight="1" x14ac:dyDescent="0.3">
      <c r="A456" s="2" t="s">
        <v>482</v>
      </c>
      <c r="B456" s="2" t="s">
        <v>19</v>
      </c>
      <c r="C456" s="2" t="s">
        <v>22</v>
      </c>
      <c r="D456" s="3">
        <v>45941</v>
      </c>
      <c r="H456" s="23" t="str">
        <f t="shared" si="7"/>
        <v>Not Delivered</v>
      </c>
      <c r="I456" s="2" t="s">
        <v>23</v>
      </c>
      <c r="J456" s="2" t="s">
        <v>33</v>
      </c>
      <c r="L456">
        <v>0</v>
      </c>
      <c r="M456">
        <v>0</v>
      </c>
      <c r="N456">
        <v>0</v>
      </c>
      <c r="O456" t="s">
        <v>1080</v>
      </c>
      <c r="P456" s="24" t="str" cm="1">
        <f t="array" ref="P456">_xlfn.IFS(O456&lt;=6,"Detractors",AND(O456&gt;=7,O456&lt;=8),"Passives",AND(O456&gt;8,O456&lt;=10),"Promoters",O456="Not Available","NA")</f>
        <v>NA</v>
      </c>
    </row>
    <row r="457" spans="1:16" ht="14.25" customHeight="1" x14ac:dyDescent="0.3">
      <c r="A457" s="2" t="s">
        <v>483</v>
      </c>
      <c r="B457" s="2" t="s">
        <v>19</v>
      </c>
      <c r="C457" s="2" t="s">
        <v>16</v>
      </c>
      <c r="D457" s="3">
        <v>45960</v>
      </c>
      <c r="E457" s="3">
        <v>45961</v>
      </c>
      <c r="F457" s="3">
        <v>45963</v>
      </c>
      <c r="G457" s="3">
        <v>45965</v>
      </c>
      <c r="H457" s="23" t="str">
        <f t="shared" si="7"/>
        <v>Delivered</v>
      </c>
      <c r="I457" s="2" t="s">
        <v>17</v>
      </c>
      <c r="J457" s="24" t="s">
        <v>1054</v>
      </c>
      <c r="K457" s="3">
        <v>45984</v>
      </c>
      <c r="L457" s="2">
        <v>1</v>
      </c>
      <c r="M457" s="2">
        <v>2</v>
      </c>
      <c r="N457" s="2">
        <v>2</v>
      </c>
      <c r="O457" s="36">
        <v>9</v>
      </c>
      <c r="P457" s="24" t="str" cm="1">
        <f t="array" ref="P457">_xlfn.IFS(O457&lt;=6,"Detractors",AND(O457&gt;=7,O457&lt;=8),"Passives",AND(O457&gt;8,O457&lt;=10),"Promoters",O457="Not Available","NA")</f>
        <v>Promoters</v>
      </c>
    </row>
    <row r="458" spans="1:16" ht="14.25" customHeight="1" x14ac:dyDescent="0.3">
      <c r="A458" s="2" t="s">
        <v>484</v>
      </c>
      <c r="B458" s="2" t="s">
        <v>19</v>
      </c>
      <c r="C458" s="2" t="s">
        <v>16</v>
      </c>
      <c r="D458" s="3">
        <v>45956</v>
      </c>
      <c r="E458" s="3">
        <v>45958</v>
      </c>
      <c r="F458" s="3">
        <v>45961</v>
      </c>
      <c r="G458" s="3">
        <v>45968</v>
      </c>
      <c r="H458" s="23" t="str">
        <f t="shared" si="7"/>
        <v>Delivered</v>
      </c>
      <c r="I458" s="2" t="s">
        <v>23</v>
      </c>
      <c r="J458" s="2" t="s">
        <v>63</v>
      </c>
      <c r="L458" s="2">
        <v>2</v>
      </c>
      <c r="M458" s="2">
        <v>3</v>
      </c>
      <c r="N458" s="2">
        <v>7</v>
      </c>
      <c r="O458" s="36" t="s">
        <v>1080</v>
      </c>
      <c r="P458" s="24" t="str" cm="1">
        <f t="array" ref="P458">_xlfn.IFS(O458&lt;=6,"Detractors",AND(O458&gt;=7,O458&lt;=8),"Passives",AND(O458&gt;8,O458&lt;=10),"Promoters",O458="Not Available","NA")</f>
        <v>NA</v>
      </c>
    </row>
    <row r="459" spans="1:16" ht="14.25" customHeight="1" x14ac:dyDescent="0.3">
      <c r="A459" s="2" t="s">
        <v>485</v>
      </c>
      <c r="B459" s="2" t="s">
        <v>32</v>
      </c>
      <c r="C459" s="2" t="s">
        <v>16</v>
      </c>
      <c r="D459" s="3">
        <v>45947</v>
      </c>
      <c r="E459" s="3">
        <v>45951</v>
      </c>
      <c r="F459" s="3">
        <v>45955</v>
      </c>
      <c r="G459" s="3">
        <v>45959</v>
      </c>
      <c r="H459" s="23" t="str">
        <f t="shared" si="7"/>
        <v>Delivered</v>
      </c>
      <c r="I459" s="2" t="s">
        <v>17</v>
      </c>
      <c r="J459" s="24" t="s">
        <v>1054</v>
      </c>
      <c r="K459" s="3">
        <v>45985</v>
      </c>
      <c r="L459" s="2">
        <v>4</v>
      </c>
      <c r="M459" s="2">
        <v>4</v>
      </c>
      <c r="N459" s="2">
        <v>4</v>
      </c>
      <c r="O459" s="36">
        <v>5</v>
      </c>
      <c r="P459" s="24" t="str" cm="1">
        <f t="array" ref="P459">_xlfn.IFS(O459&lt;=6,"Detractors",AND(O459&gt;=7,O459&lt;=8),"Passives",AND(O459&gt;8,O459&lt;=10),"Promoters",O459="Not Available","NA")</f>
        <v>Detractors</v>
      </c>
    </row>
    <row r="460" spans="1:16" ht="14.25" customHeight="1" x14ac:dyDescent="0.3">
      <c r="A460" s="42" t="s">
        <v>486</v>
      </c>
      <c r="B460" s="2" t="s">
        <v>15</v>
      </c>
      <c r="C460" s="2" t="s">
        <v>30</v>
      </c>
      <c r="D460" s="3">
        <v>45939</v>
      </c>
      <c r="E460" s="3">
        <v>45942</v>
      </c>
      <c r="F460" s="3">
        <v>45944</v>
      </c>
      <c r="G460" s="3">
        <v>45947</v>
      </c>
      <c r="H460" s="23" t="str">
        <f t="shared" si="7"/>
        <v>Delivered</v>
      </c>
      <c r="I460" s="2" t="s">
        <v>17</v>
      </c>
      <c r="J460" s="24" t="s">
        <v>1054</v>
      </c>
      <c r="K460" s="3">
        <v>45969</v>
      </c>
      <c r="L460" s="2">
        <v>3</v>
      </c>
      <c r="M460" s="2">
        <v>2</v>
      </c>
      <c r="N460" s="2">
        <v>3</v>
      </c>
      <c r="O460" s="36">
        <v>5</v>
      </c>
      <c r="P460" s="24" t="str" cm="1">
        <f t="array" ref="P460">_xlfn.IFS(O460&lt;=6,"Detractors",AND(O460&gt;=7,O460&lt;=8),"Passives",AND(O460&gt;8,O460&lt;=10),"Promoters",O460="Not Available","NA")</f>
        <v>Detractors</v>
      </c>
    </row>
    <row r="461" spans="1:16" ht="14.25" customHeight="1" x14ac:dyDescent="0.3">
      <c r="A461" s="2" t="s">
        <v>487</v>
      </c>
      <c r="B461" s="2" t="s">
        <v>15</v>
      </c>
      <c r="C461" s="2" t="s">
        <v>16</v>
      </c>
      <c r="D461" s="3">
        <v>45957</v>
      </c>
      <c r="E461" s="3">
        <v>45958</v>
      </c>
      <c r="F461" s="3">
        <v>45963</v>
      </c>
      <c r="G461" s="3">
        <v>45969</v>
      </c>
      <c r="H461" s="23" t="str">
        <f t="shared" si="7"/>
        <v>Delivered</v>
      </c>
      <c r="I461" s="2" t="s">
        <v>17</v>
      </c>
      <c r="J461" s="24" t="s">
        <v>1054</v>
      </c>
      <c r="K461" s="3">
        <v>45983</v>
      </c>
      <c r="L461" s="2">
        <v>1</v>
      </c>
      <c r="M461" s="2">
        <v>5</v>
      </c>
      <c r="N461" s="2">
        <v>6</v>
      </c>
      <c r="O461" s="36">
        <v>1</v>
      </c>
      <c r="P461" s="24" t="str" cm="1">
        <f t="array" ref="P461">_xlfn.IFS(O461&lt;=6,"Detractors",AND(O461&gt;=7,O461&lt;=8),"Passives",AND(O461&gt;8,O461&lt;=10),"Promoters",O461="Not Available","NA")</f>
        <v>Detractors</v>
      </c>
    </row>
    <row r="462" spans="1:16" ht="14.25" customHeight="1" x14ac:dyDescent="0.3">
      <c r="A462" s="2" t="s">
        <v>488</v>
      </c>
      <c r="B462" s="2" t="s">
        <v>19</v>
      </c>
      <c r="C462" s="2" t="s">
        <v>16</v>
      </c>
      <c r="D462" s="3">
        <v>45931</v>
      </c>
      <c r="E462" s="3">
        <v>45935</v>
      </c>
      <c r="F462" s="3">
        <v>45939</v>
      </c>
      <c r="G462" s="3">
        <v>45945</v>
      </c>
      <c r="H462" s="23" t="str">
        <f t="shared" si="7"/>
        <v>Delivered</v>
      </c>
      <c r="I462" s="2" t="s">
        <v>23</v>
      </c>
      <c r="J462" s="2" t="s">
        <v>63</v>
      </c>
      <c r="L462" s="2">
        <v>4</v>
      </c>
      <c r="M462" s="2">
        <v>4</v>
      </c>
      <c r="N462" s="2">
        <v>6</v>
      </c>
      <c r="O462" t="s">
        <v>1080</v>
      </c>
      <c r="P462" s="24" t="str" cm="1">
        <f t="array" ref="P462">_xlfn.IFS(O462&lt;=6,"Detractors",AND(O462&gt;=7,O462&lt;=8),"Passives",AND(O462&gt;8,O462&lt;=10),"Promoters",O462="Not Available","NA")</f>
        <v>NA</v>
      </c>
    </row>
    <row r="463" spans="1:16" ht="14.25" customHeight="1" x14ac:dyDescent="0.3">
      <c r="A463" s="2" t="s">
        <v>489</v>
      </c>
      <c r="B463" s="2" t="s">
        <v>15</v>
      </c>
      <c r="C463" s="2" t="s">
        <v>22</v>
      </c>
      <c r="D463" s="3">
        <v>45940</v>
      </c>
      <c r="H463" s="23" t="str">
        <f t="shared" si="7"/>
        <v>Not Delivered</v>
      </c>
      <c r="I463" s="2" t="s">
        <v>23</v>
      </c>
      <c r="J463" s="2" t="s">
        <v>33</v>
      </c>
      <c r="L463">
        <v>0</v>
      </c>
      <c r="M463">
        <v>0</v>
      </c>
      <c r="N463">
        <v>0</v>
      </c>
      <c r="O463" t="s">
        <v>1080</v>
      </c>
      <c r="P463" s="24" t="str" cm="1">
        <f t="array" ref="P463">_xlfn.IFS(O463&lt;=6,"Detractors",AND(O463&gt;=7,O463&lt;=8),"Passives",AND(O463&gt;8,O463&lt;=10),"Promoters",O463="Not Available","NA")</f>
        <v>NA</v>
      </c>
    </row>
    <row r="464" spans="1:16" ht="14.25" customHeight="1" x14ac:dyDescent="0.3">
      <c r="A464" s="2" t="s">
        <v>490</v>
      </c>
      <c r="B464" s="2" t="s">
        <v>19</v>
      </c>
      <c r="C464" s="2" t="s">
        <v>22</v>
      </c>
      <c r="D464" s="3">
        <v>45954</v>
      </c>
      <c r="H464" s="23" t="str">
        <f t="shared" si="7"/>
        <v>Not Delivered</v>
      </c>
      <c r="I464" s="2" t="s">
        <v>23</v>
      </c>
      <c r="J464" s="2" t="s">
        <v>33</v>
      </c>
      <c r="L464">
        <v>0</v>
      </c>
      <c r="M464">
        <v>0</v>
      </c>
      <c r="N464">
        <v>0</v>
      </c>
      <c r="O464" t="s">
        <v>1080</v>
      </c>
      <c r="P464" s="24" t="str" cm="1">
        <f t="array" ref="P464">_xlfn.IFS(O464&lt;=6,"Detractors",AND(O464&gt;=7,O464&lt;=8),"Passives",AND(O464&gt;8,O464&lt;=10),"Promoters",O464="Not Available","NA")</f>
        <v>NA</v>
      </c>
    </row>
    <row r="465" spans="1:16" ht="14.25" customHeight="1" x14ac:dyDescent="0.3">
      <c r="A465" s="2" t="s">
        <v>491</v>
      </c>
      <c r="B465" s="2" t="s">
        <v>32</v>
      </c>
      <c r="C465" s="2" t="s">
        <v>16</v>
      </c>
      <c r="D465" s="3">
        <v>45940</v>
      </c>
      <c r="E465" s="3">
        <v>45941</v>
      </c>
      <c r="F465" s="3">
        <v>45943</v>
      </c>
      <c r="G465" s="3">
        <v>45949</v>
      </c>
      <c r="H465" s="23" t="str">
        <f t="shared" si="7"/>
        <v>Delivered</v>
      </c>
      <c r="I465" s="2" t="s">
        <v>17</v>
      </c>
      <c r="J465" s="24" t="s">
        <v>1054</v>
      </c>
      <c r="K465" s="3">
        <v>45975</v>
      </c>
      <c r="L465" s="2">
        <v>1</v>
      </c>
      <c r="M465" s="2">
        <v>2</v>
      </c>
      <c r="N465" s="2">
        <v>6</v>
      </c>
      <c r="O465" s="36">
        <v>1</v>
      </c>
      <c r="P465" s="24" t="str" cm="1">
        <f t="array" ref="P465">_xlfn.IFS(O465&lt;=6,"Detractors",AND(O465&gt;=7,O465&lt;=8),"Passives",AND(O465&gt;8,O465&lt;=10),"Promoters",O465="Not Available","NA")</f>
        <v>Detractors</v>
      </c>
    </row>
    <row r="466" spans="1:16" ht="14.25" customHeight="1" x14ac:dyDescent="0.3">
      <c r="A466" s="42" t="s">
        <v>492</v>
      </c>
      <c r="B466" s="2" t="s">
        <v>32</v>
      </c>
      <c r="C466" s="2" t="s">
        <v>30</v>
      </c>
      <c r="D466" s="3">
        <v>45957</v>
      </c>
      <c r="E466" s="3">
        <v>45961</v>
      </c>
      <c r="F466" s="3">
        <v>45963</v>
      </c>
      <c r="G466" s="3">
        <v>45966</v>
      </c>
      <c r="H466" s="23" t="str">
        <f t="shared" si="7"/>
        <v>Delivered</v>
      </c>
      <c r="I466" s="2" t="s">
        <v>17</v>
      </c>
      <c r="J466" s="24" t="s">
        <v>1054</v>
      </c>
      <c r="K466" s="3">
        <v>45994</v>
      </c>
      <c r="L466" s="2">
        <v>4</v>
      </c>
      <c r="M466" s="2">
        <v>2</v>
      </c>
      <c r="N466" s="2">
        <v>3</v>
      </c>
      <c r="O466" s="36">
        <v>4</v>
      </c>
      <c r="P466" s="24" t="str" cm="1">
        <f t="array" ref="P466">_xlfn.IFS(O466&lt;=6,"Detractors",AND(O466&gt;=7,O466&lt;=8),"Passives",AND(O466&gt;8,O466&lt;=10),"Promoters",O466="Not Available","NA")</f>
        <v>Detractors</v>
      </c>
    </row>
    <row r="467" spans="1:16" ht="14.25" customHeight="1" x14ac:dyDescent="0.3">
      <c r="A467" s="42" t="s">
        <v>493</v>
      </c>
      <c r="B467" s="2" t="s">
        <v>21</v>
      </c>
      <c r="C467" s="2" t="s">
        <v>30</v>
      </c>
      <c r="D467" s="3">
        <v>45949</v>
      </c>
      <c r="E467" s="3">
        <v>45954</v>
      </c>
      <c r="F467" s="3">
        <v>45957</v>
      </c>
      <c r="G467" s="3">
        <v>45964</v>
      </c>
      <c r="H467" s="23" t="str">
        <f t="shared" si="7"/>
        <v>Delivered</v>
      </c>
      <c r="I467" s="2" t="s">
        <v>17</v>
      </c>
      <c r="J467" s="24" t="s">
        <v>1054</v>
      </c>
      <c r="K467" s="3">
        <v>45974</v>
      </c>
      <c r="L467" s="2">
        <v>5</v>
      </c>
      <c r="M467" s="2">
        <v>3</v>
      </c>
      <c r="N467" s="2">
        <v>7</v>
      </c>
      <c r="O467" s="36">
        <v>4</v>
      </c>
      <c r="P467" s="24" t="str" cm="1">
        <f t="array" ref="P467">_xlfn.IFS(O467&lt;=6,"Detractors",AND(O467&gt;=7,O467&lt;=8),"Passives",AND(O467&gt;8,O467&lt;=10),"Promoters",O467="Not Available","NA")</f>
        <v>Detractors</v>
      </c>
    </row>
    <row r="468" spans="1:16" ht="14.25" customHeight="1" x14ac:dyDescent="0.3">
      <c r="A468" s="42" t="s">
        <v>494</v>
      </c>
      <c r="B468" s="2" t="s">
        <v>32</v>
      </c>
      <c r="C468" s="2" t="s">
        <v>30</v>
      </c>
      <c r="D468" s="3">
        <v>45949</v>
      </c>
      <c r="E468" s="3">
        <v>45952</v>
      </c>
      <c r="F468" s="3">
        <v>45954</v>
      </c>
      <c r="G468" s="3">
        <v>45959</v>
      </c>
      <c r="H468" s="23" t="str">
        <f t="shared" si="7"/>
        <v>Delivered</v>
      </c>
      <c r="I468" s="2" t="s">
        <v>17</v>
      </c>
      <c r="J468" s="24" t="s">
        <v>1054</v>
      </c>
      <c r="K468" s="3">
        <v>45974</v>
      </c>
      <c r="L468" s="2">
        <v>3</v>
      </c>
      <c r="M468" s="2">
        <v>2</v>
      </c>
      <c r="N468" s="2">
        <v>5</v>
      </c>
      <c r="O468" s="36">
        <v>1</v>
      </c>
      <c r="P468" s="24" t="str" cm="1">
        <f t="array" ref="P468">_xlfn.IFS(O468&lt;=6,"Detractors",AND(O468&gt;=7,O468&lt;=8),"Passives",AND(O468&gt;8,O468&lt;=10),"Promoters",O468="Not Available","NA")</f>
        <v>Detractors</v>
      </c>
    </row>
    <row r="469" spans="1:16" ht="14.25" customHeight="1" x14ac:dyDescent="0.3">
      <c r="A469" s="2" t="s">
        <v>495</v>
      </c>
      <c r="B469" s="2" t="s">
        <v>19</v>
      </c>
      <c r="C469" s="2" t="s">
        <v>16</v>
      </c>
      <c r="D469" s="3">
        <v>45952</v>
      </c>
      <c r="E469" s="3">
        <v>45954</v>
      </c>
      <c r="F469" s="3">
        <v>45958</v>
      </c>
      <c r="G469" s="3">
        <v>45962</v>
      </c>
      <c r="H469" s="23" t="str">
        <f t="shared" si="7"/>
        <v>Delivered</v>
      </c>
      <c r="I469" s="2" t="s">
        <v>17</v>
      </c>
      <c r="J469" s="24" t="s">
        <v>1054</v>
      </c>
      <c r="K469" s="3">
        <v>45978</v>
      </c>
      <c r="L469" s="2">
        <v>2</v>
      </c>
      <c r="M469" s="2">
        <v>4</v>
      </c>
      <c r="N469" s="2">
        <v>4</v>
      </c>
      <c r="O469" s="36">
        <v>1</v>
      </c>
      <c r="P469" s="24" t="str" cm="1">
        <f t="array" ref="P469">_xlfn.IFS(O469&lt;=6,"Detractors",AND(O469&gt;=7,O469&lt;=8),"Passives",AND(O469&gt;8,O469&lt;=10),"Promoters",O469="Not Available","NA")</f>
        <v>Detractors</v>
      </c>
    </row>
    <row r="470" spans="1:16" ht="14.25" customHeight="1" x14ac:dyDescent="0.3">
      <c r="A470" s="2" t="s">
        <v>496</v>
      </c>
      <c r="B470" s="2" t="s">
        <v>32</v>
      </c>
      <c r="C470" s="2" t="s">
        <v>16</v>
      </c>
      <c r="D470" s="3">
        <v>45946</v>
      </c>
      <c r="E470" s="3">
        <v>45950</v>
      </c>
      <c r="F470" s="3">
        <v>45951</v>
      </c>
      <c r="G470" s="3">
        <v>45958</v>
      </c>
      <c r="H470" s="23" t="str">
        <f t="shared" si="7"/>
        <v>Delivered</v>
      </c>
      <c r="I470" s="2" t="s">
        <v>17</v>
      </c>
      <c r="J470" s="24" t="s">
        <v>1054</v>
      </c>
      <c r="K470" s="3">
        <v>45974</v>
      </c>
      <c r="L470" s="2">
        <v>4</v>
      </c>
      <c r="M470" s="2">
        <v>1</v>
      </c>
      <c r="N470" s="2">
        <v>7</v>
      </c>
      <c r="O470" s="36">
        <v>0</v>
      </c>
      <c r="P470" s="24" t="str" cm="1">
        <f t="array" ref="P470">_xlfn.IFS(O470&lt;=6,"Detractors",AND(O470&gt;=7,O470&lt;=8),"Passives",AND(O470&gt;8,O470&lt;=10),"Promoters",O470="Not Available","NA")</f>
        <v>Detractors</v>
      </c>
    </row>
    <row r="471" spans="1:16" ht="14.25" customHeight="1" x14ac:dyDescent="0.3">
      <c r="A471" s="2" t="s">
        <v>497</v>
      </c>
      <c r="B471" s="2" t="s">
        <v>21</v>
      </c>
      <c r="C471" s="2" t="s">
        <v>22</v>
      </c>
      <c r="D471" s="3">
        <v>45958</v>
      </c>
      <c r="H471" s="23" t="str">
        <f t="shared" si="7"/>
        <v>Not Delivered</v>
      </c>
      <c r="I471" s="2" t="s">
        <v>23</v>
      </c>
      <c r="J471" s="2" t="s">
        <v>33</v>
      </c>
      <c r="L471">
        <v>0</v>
      </c>
      <c r="M471">
        <v>0</v>
      </c>
      <c r="N471">
        <v>0</v>
      </c>
      <c r="O471" t="s">
        <v>1080</v>
      </c>
      <c r="P471" s="24" t="str" cm="1">
        <f t="array" ref="P471">_xlfn.IFS(O471&lt;=6,"Detractors",AND(O471&gt;=7,O471&lt;=8),"Passives",AND(O471&gt;8,O471&lt;=10),"Promoters",O471="Not Available","NA")</f>
        <v>NA</v>
      </c>
    </row>
    <row r="472" spans="1:16" ht="14.25" customHeight="1" x14ac:dyDescent="0.3">
      <c r="A472" s="2" t="s">
        <v>498</v>
      </c>
      <c r="B472" s="2" t="s">
        <v>15</v>
      </c>
      <c r="C472" s="2" t="s">
        <v>16</v>
      </c>
      <c r="D472" s="3">
        <v>45935</v>
      </c>
      <c r="E472" s="3">
        <v>45936</v>
      </c>
      <c r="F472" s="3">
        <v>45941</v>
      </c>
      <c r="G472" s="3">
        <v>45943</v>
      </c>
      <c r="H472" s="23" t="str">
        <f t="shared" si="7"/>
        <v>Delivered</v>
      </c>
      <c r="I472" s="2" t="s">
        <v>17</v>
      </c>
      <c r="J472" s="24" t="s">
        <v>1054</v>
      </c>
      <c r="K472" s="3">
        <v>45954</v>
      </c>
      <c r="L472" s="2">
        <v>1</v>
      </c>
      <c r="M472" s="2">
        <v>5</v>
      </c>
      <c r="N472" s="2">
        <v>2</v>
      </c>
      <c r="O472" s="36">
        <v>7</v>
      </c>
      <c r="P472" s="24" t="str" cm="1">
        <f t="array" ref="P472">_xlfn.IFS(O472&lt;=6,"Detractors",AND(O472&gt;=7,O472&lt;=8),"Passives",AND(O472&gt;8,O472&lt;=10),"Promoters",O472="Not Available","NA")</f>
        <v>Passives</v>
      </c>
    </row>
    <row r="473" spans="1:16" ht="14.25" customHeight="1" x14ac:dyDescent="0.3">
      <c r="A473" s="2" t="s">
        <v>499</v>
      </c>
      <c r="B473" s="2" t="s">
        <v>19</v>
      </c>
      <c r="C473" s="2" t="s">
        <v>22</v>
      </c>
      <c r="D473" s="3">
        <v>45945</v>
      </c>
      <c r="H473" s="23" t="str">
        <f t="shared" si="7"/>
        <v>Not Delivered</v>
      </c>
      <c r="I473" s="2" t="s">
        <v>23</v>
      </c>
      <c r="J473" s="2" t="s">
        <v>63</v>
      </c>
      <c r="L473">
        <v>0</v>
      </c>
      <c r="M473">
        <v>0</v>
      </c>
      <c r="N473">
        <v>0</v>
      </c>
      <c r="O473" t="s">
        <v>1080</v>
      </c>
      <c r="P473" s="24" t="str" cm="1">
        <f t="array" ref="P473">_xlfn.IFS(O473&lt;=6,"Detractors",AND(O473&gt;=7,O473&lt;=8),"Passives",AND(O473&gt;8,O473&lt;=10),"Promoters",O473="Not Available","NA")</f>
        <v>NA</v>
      </c>
    </row>
    <row r="474" spans="1:16" ht="14.25" customHeight="1" x14ac:dyDescent="0.3">
      <c r="A474" s="2" t="s">
        <v>500</v>
      </c>
      <c r="B474" s="2" t="s">
        <v>15</v>
      </c>
      <c r="C474" s="2" t="s">
        <v>22</v>
      </c>
      <c r="D474" s="3">
        <v>45948</v>
      </c>
      <c r="H474" s="23" t="str">
        <f t="shared" si="7"/>
        <v>Not Delivered</v>
      </c>
      <c r="I474" s="2" t="s">
        <v>23</v>
      </c>
      <c r="J474" s="2" t="s">
        <v>33</v>
      </c>
      <c r="L474">
        <v>0</v>
      </c>
      <c r="M474">
        <v>0</v>
      </c>
      <c r="N474">
        <v>0</v>
      </c>
      <c r="O474" t="s">
        <v>1080</v>
      </c>
      <c r="P474" s="24" t="str" cm="1">
        <f t="array" ref="P474">_xlfn.IFS(O474&lt;=6,"Detractors",AND(O474&gt;=7,O474&lt;=8),"Passives",AND(O474&gt;8,O474&lt;=10),"Promoters",O474="Not Available","NA")</f>
        <v>NA</v>
      </c>
    </row>
    <row r="475" spans="1:16" ht="14.25" customHeight="1" x14ac:dyDescent="0.3">
      <c r="A475" s="2" t="s">
        <v>501</v>
      </c>
      <c r="B475" s="2" t="s">
        <v>21</v>
      </c>
      <c r="C475" s="2" t="s">
        <v>16</v>
      </c>
      <c r="D475" s="3">
        <v>45946</v>
      </c>
      <c r="E475" s="3">
        <v>45949</v>
      </c>
      <c r="F475" s="3">
        <v>45953</v>
      </c>
      <c r="G475" s="3">
        <v>45956</v>
      </c>
      <c r="H475" s="23" t="str">
        <f t="shared" si="7"/>
        <v>Delivered</v>
      </c>
      <c r="I475" s="2" t="s">
        <v>17</v>
      </c>
      <c r="J475" s="24" t="s">
        <v>1054</v>
      </c>
      <c r="K475" s="3">
        <v>45973</v>
      </c>
      <c r="L475" s="2">
        <v>3</v>
      </c>
      <c r="M475" s="2">
        <v>4</v>
      </c>
      <c r="N475" s="2">
        <v>3</v>
      </c>
      <c r="O475" s="36">
        <v>8</v>
      </c>
      <c r="P475" s="24" t="str" cm="1">
        <f t="array" ref="P475">_xlfn.IFS(O475&lt;=6,"Detractors",AND(O475&gt;=7,O475&lt;=8),"Passives",AND(O475&gt;8,O475&lt;=10),"Promoters",O475="Not Available","NA")</f>
        <v>Passives</v>
      </c>
    </row>
    <row r="476" spans="1:16" ht="14.25" customHeight="1" x14ac:dyDescent="0.3">
      <c r="A476" s="2" t="s">
        <v>502</v>
      </c>
      <c r="B476" s="2" t="s">
        <v>21</v>
      </c>
      <c r="C476" s="2" t="s">
        <v>22</v>
      </c>
      <c r="D476" s="3">
        <v>45942</v>
      </c>
      <c r="H476" s="23" t="str">
        <f t="shared" si="7"/>
        <v>Not Delivered</v>
      </c>
      <c r="I476" s="2" t="s">
        <v>23</v>
      </c>
      <c r="J476" s="2" t="s">
        <v>101</v>
      </c>
      <c r="L476">
        <v>0</v>
      </c>
      <c r="M476">
        <v>0</v>
      </c>
      <c r="N476">
        <v>0</v>
      </c>
      <c r="O476" s="36" t="s">
        <v>1080</v>
      </c>
      <c r="P476" s="24" t="str" cm="1">
        <f t="array" ref="P476">_xlfn.IFS(O476&lt;=6,"Detractors",AND(O476&gt;=7,O476&lt;=8),"Passives",AND(O476&gt;8,O476&lt;=10),"Promoters",O476="Not Available","NA")</f>
        <v>NA</v>
      </c>
    </row>
    <row r="477" spans="1:16" ht="14.25" customHeight="1" x14ac:dyDescent="0.3">
      <c r="A477" s="2" t="s">
        <v>503</v>
      </c>
      <c r="B477" s="2" t="s">
        <v>21</v>
      </c>
      <c r="C477" s="2" t="s">
        <v>16</v>
      </c>
      <c r="D477" s="3">
        <v>45941</v>
      </c>
      <c r="E477" s="3">
        <v>45943</v>
      </c>
      <c r="F477" s="3">
        <v>45947</v>
      </c>
      <c r="G477" s="3">
        <v>45952</v>
      </c>
      <c r="H477" s="23" t="str">
        <f t="shared" si="7"/>
        <v>Delivered</v>
      </c>
      <c r="I477" s="2" t="s">
        <v>23</v>
      </c>
      <c r="J477" s="2" t="s">
        <v>24</v>
      </c>
      <c r="L477" s="2">
        <v>2</v>
      </c>
      <c r="M477" s="2">
        <v>4</v>
      </c>
      <c r="N477" s="2">
        <v>5</v>
      </c>
      <c r="O477" s="36" t="s">
        <v>1080</v>
      </c>
      <c r="P477" s="24" t="str" cm="1">
        <f t="array" ref="P477">_xlfn.IFS(O477&lt;=6,"Detractors",AND(O477&gt;=7,O477&lt;=8),"Passives",AND(O477&gt;8,O477&lt;=10),"Promoters",O477="Not Available","NA")</f>
        <v>NA</v>
      </c>
    </row>
    <row r="478" spans="1:16" ht="14.25" customHeight="1" x14ac:dyDescent="0.3">
      <c r="A478" s="42" t="s">
        <v>504</v>
      </c>
      <c r="B478" s="2" t="s">
        <v>15</v>
      </c>
      <c r="C478" s="2" t="s">
        <v>30</v>
      </c>
      <c r="D478" s="3">
        <v>45948</v>
      </c>
      <c r="E478" s="3">
        <v>45949</v>
      </c>
      <c r="F478" s="3">
        <v>45954</v>
      </c>
      <c r="G478" s="3">
        <v>45959</v>
      </c>
      <c r="H478" s="23" t="str">
        <f t="shared" si="7"/>
        <v>Delivered</v>
      </c>
      <c r="I478" s="2" t="s">
        <v>17</v>
      </c>
      <c r="J478" s="24" t="s">
        <v>1054</v>
      </c>
      <c r="K478" s="3">
        <v>45970</v>
      </c>
      <c r="L478" s="2">
        <v>1</v>
      </c>
      <c r="M478" s="2">
        <v>5</v>
      </c>
      <c r="N478" s="2">
        <v>5</v>
      </c>
      <c r="O478" s="36">
        <v>2</v>
      </c>
      <c r="P478" s="24" t="str" cm="1">
        <f t="array" ref="P478">_xlfn.IFS(O478&lt;=6,"Detractors",AND(O478&gt;=7,O478&lt;=8),"Passives",AND(O478&gt;8,O478&lt;=10),"Promoters",O478="Not Available","NA")</f>
        <v>Detractors</v>
      </c>
    </row>
    <row r="479" spans="1:16" ht="14.25" customHeight="1" x14ac:dyDescent="0.3">
      <c r="A479" s="2" t="s">
        <v>505</v>
      </c>
      <c r="B479" s="2" t="s">
        <v>15</v>
      </c>
      <c r="C479" s="2" t="s">
        <v>16</v>
      </c>
      <c r="D479" s="3">
        <v>45955</v>
      </c>
      <c r="E479" s="3">
        <v>45958</v>
      </c>
      <c r="F479" s="3">
        <v>45963</v>
      </c>
      <c r="G479" s="3">
        <v>45965</v>
      </c>
      <c r="H479" s="23" t="str">
        <f t="shared" si="7"/>
        <v>Delivered</v>
      </c>
      <c r="I479" s="2" t="s">
        <v>23</v>
      </c>
      <c r="J479" s="2" t="s">
        <v>24</v>
      </c>
      <c r="L479" s="2">
        <v>3</v>
      </c>
      <c r="M479" s="2">
        <v>5</v>
      </c>
      <c r="N479" s="2">
        <v>2</v>
      </c>
      <c r="O479" s="36" t="s">
        <v>1080</v>
      </c>
      <c r="P479" s="24" t="str" cm="1">
        <f t="array" ref="P479">_xlfn.IFS(O479&lt;=6,"Detractors",AND(O479&gt;=7,O479&lt;=8),"Passives",AND(O479&gt;8,O479&lt;=10),"Promoters",O479="Not Available","NA")</f>
        <v>NA</v>
      </c>
    </row>
    <row r="480" spans="1:16" ht="14.25" customHeight="1" x14ac:dyDescent="0.3">
      <c r="A480" s="2" t="s">
        <v>506</v>
      </c>
      <c r="B480" s="2" t="s">
        <v>15</v>
      </c>
      <c r="C480" s="2" t="s">
        <v>16</v>
      </c>
      <c r="D480" s="3">
        <v>45948</v>
      </c>
      <c r="E480" s="3">
        <v>45949</v>
      </c>
      <c r="F480" s="3">
        <v>45951</v>
      </c>
      <c r="G480" s="3">
        <v>45954</v>
      </c>
      <c r="H480" s="23" t="str">
        <f t="shared" si="7"/>
        <v>Delivered</v>
      </c>
      <c r="I480" s="2" t="s">
        <v>17</v>
      </c>
      <c r="J480" s="24" t="s">
        <v>1054</v>
      </c>
      <c r="K480" s="3">
        <v>45978</v>
      </c>
      <c r="L480" s="2">
        <v>1</v>
      </c>
      <c r="M480" s="2">
        <v>2</v>
      </c>
      <c r="N480" s="2">
        <v>3</v>
      </c>
      <c r="O480" s="36">
        <v>7</v>
      </c>
      <c r="P480" s="24" t="str" cm="1">
        <f t="array" ref="P480">_xlfn.IFS(O480&lt;=6,"Detractors",AND(O480&gt;=7,O480&lt;=8),"Passives",AND(O480&gt;8,O480&lt;=10),"Promoters",O480="Not Available","NA")</f>
        <v>Passives</v>
      </c>
    </row>
    <row r="481" spans="1:16" ht="14.25" customHeight="1" x14ac:dyDescent="0.3">
      <c r="A481" s="2" t="s">
        <v>507</v>
      </c>
      <c r="B481" s="2" t="s">
        <v>15</v>
      </c>
      <c r="C481" s="2" t="s">
        <v>16</v>
      </c>
      <c r="D481" s="3">
        <v>45943</v>
      </c>
      <c r="E481" s="3">
        <v>45946</v>
      </c>
      <c r="F481" s="3">
        <v>45950</v>
      </c>
      <c r="G481" s="3">
        <v>45955</v>
      </c>
      <c r="H481" s="23" t="str">
        <f t="shared" si="7"/>
        <v>Delivered</v>
      </c>
      <c r="I481" s="2" t="s">
        <v>23</v>
      </c>
      <c r="J481" s="2" t="s">
        <v>26</v>
      </c>
      <c r="L481" s="2">
        <v>3</v>
      </c>
      <c r="M481" s="2">
        <v>4</v>
      </c>
      <c r="N481" s="2">
        <v>5</v>
      </c>
      <c r="O481" s="36" t="s">
        <v>1080</v>
      </c>
      <c r="P481" s="24" t="str" cm="1">
        <f t="array" ref="P481">_xlfn.IFS(O481&lt;=6,"Detractors",AND(O481&gt;=7,O481&lt;=8),"Passives",AND(O481&gt;8,O481&lt;=10),"Promoters",O481="Not Available","NA")</f>
        <v>NA</v>
      </c>
    </row>
    <row r="482" spans="1:16" ht="14.25" customHeight="1" x14ac:dyDescent="0.3">
      <c r="A482" s="2" t="s">
        <v>508</v>
      </c>
      <c r="B482" s="2" t="s">
        <v>21</v>
      </c>
      <c r="C482" s="2" t="s">
        <v>16</v>
      </c>
      <c r="D482" s="3">
        <v>45945</v>
      </c>
      <c r="E482" s="3">
        <v>45947</v>
      </c>
      <c r="F482" s="3">
        <v>45949</v>
      </c>
      <c r="G482" s="3">
        <v>45956</v>
      </c>
      <c r="H482" s="23" t="str">
        <f t="shared" si="7"/>
        <v>Delivered</v>
      </c>
      <c r="I482" s="2" t="s">
        <v>17</v>
      </c>
      <c r="J482" s="24" t="s">
        <v>1054</v>
      </c>
      <c r="K482" s="3">
        <v>45967</v>
      </c>
      <c r="L482" s="2">
        <v>2</v>
      </c>
      <c r="M482" s="2">
        <v>2</v>
      </c>
      <c r="N482" s="2">
        <v>7</v>
      </c>
      <c r="O482" s="36">
        <v>2</v>
      </c>
      <c r="P482" s="24" t="str" cm="1">
        <f t="array" ref="P482">_xlfn.IFS(O482&lt;=6,"Detractors",AND(O482&gt;=7,O482&lt;=8),"Passives",AND(O482&gt;8,O482&lt;=10),"Promoters",O482="Not Available","NA")</f>
        <v>Detractors</v>
      </c>
    </row>
    <row r="483" spans="1:16" ht="14.25" customHeight="1" x14ac:dyDescent="0.3">
      <c r="A483" s="2" t="s">
        <v>509</v>
      </c>
      <c r="B483" s="2" t="s">
        <v>21</v>
      </c>
      <c r="C483" s="2" t="s">
        <v>16</v>
      </c>
      <c r="D483" s="3">
        <v>45960</v>
      </c>
      <c r="E483" s="3">
        <v>45962</v>
      </c>
      <c r="F483" s="3">
        <v>45965</v>
      </c>
      <c r="G483" s="3">
        <v>45971</v>
      </c>
      <c r="H483" s="23" t="str">
        <f t="shared" si="7"/>
        <v>Delivered</v>
      </c>
      <c r="I483" s="2" t="s">
        <v>17</v>
      </c>
      <c r="J483" s="24" t="s">
        <v>1054</v>
      </c>
      <c r="K483" s="3">
        <v>45992</v>
      </c>
      <c r="L483" s="2">
        <v>2</v>
      </c>
      <c r="M483" s="2">
        <v>3</v>
      </c>
      <c r="N483" s="2">
        <v>6</v>
      </c>
      <c r="O483" s="36">
        <v>8</v>
      </c>
      <c r="P483" s="24" t="str" cm="1">
        <f t="array" ref="P483">_xlfn.IFS(O483&lt;=6,"Detractors",AND(O483&gt;=7,O483&lt;=8),"Passives",AND(O483&gt;8,O483&lt;=10),"Promoters",O483="Not Available","NA")</f>
        <v>Passives</v>
      </c>
    </row>
    <row r="484" spans="1:16" ht="14.25" customHeight="1" x14ac:dyDescent="0.3">
      <c r="A484" s="2" t="s">
        <v>510</v>
      </c>
      <c r="B484" s="2" t="s">
        <v>19</v>
      </c>
      <c r="C484" s="2" t="s">
        <v>16</v>
      </c>
      <c r="D484" s="3">
        <v>45941</v>
      </c>
      <c r="E484" s="3">
        <v>45942</v>
      </c>
      <c r="F484" s="3">
        <v>45944</v>
      </c>
      <c r="G484" s="3">
        <v>45946</v>
      </c>
      <c r="H484" s="23" t="str">
        <f t="shared" si="7"/>
        <v>Delivered</v>
      </c>
      <c r="I484" s="2" t="s">
        <v>17</v>
      </c>
      <c r="J484" s="24" t="s">
        <v>1054</v>
      </c>
      <c r="K484" s="3">
        <v>45962</v>
      </c>
      <c r="L484" s="2">
        <v>1</v>
      </c>
      <c r="M484" s="2">
        <v>2</v>
      </c>
      <c r="N484" s="2">
        <v>2</v>
      </c>
      <c r="O484" s="36">
        <v>5</v>
      </c>
      <c r="P484" s="24" t="str" cm="1">
        <f t="array" ref="P484">_xlfn.IFS(O484&lt;=6,"Detractors",AND(O484&gt;=7,O484&lt;=8),"Passives",AND(O484&gt;8,O484&lt;=10),"Promoters",O484="Not Available","NA")</f>
        <v>Detractors</v>
      </c>
    </row>
    <row r="485" spans="1:16" ht="14.25" customHeight="1" x14ac:dyDescent="0.3">
      <c r="A485" s="2" t="s">
        <v>511</v>
      </c>
      <c r="B485" s="2" t="s">
        <v>19</v>
      </c>
      <c r="C485" s="2" t="s">
        <v>16</v>
      </c>
      <c r="D485" s="3">
        <v>45958</v>
      </c>
      <c r="E485" s="3">
        <v>45961</v>
      </c>
      <c r="F485" s="3">
        <v>45964</v>
      </c>
      <c r="G485" s="3">
        <v>45970</v>
      </c>
      <c r="H485" s="23" t="str">
        <f t="shared" si="7"/>
        <v>Delivered</v>
      </c>
      <c r="I485" s="2" t="s">
        <v>17</v>
      </c>
      <c r="J485" s="24" t="s">
        <v>1054</v>
      </c>
      <c r="K485" s="3">
        <v>45988</v>
      </c>
      <c r="L485" s="2">
        <v>3</v>
      </c>
      <c r="M485" s="2">
        <v>3</v>
      </c>
      <c r="N485" s="2">
        <v>6</v>
      </c>
      <c r="O485" s="36">
        <v>5</v>
      </c>
      <c r="P485" s="24" t="str" cm="1">
        <f t="array" ref="P485">_xlfn.IFS(O485&lt;=6,"Detractors",AND(O485&gt;=7,O485&lt;=8),"Passives",AND(O485&gt;8,O485&lt;=10),"Promoters",O485="Not Available","NA")</f>
        <v>Detractors</v>
      </c>
    </row>
    <row r="486" spans="1:16" ht="14.25" customHeight="1" x14ac:dyDescent="0.3">
      <c r="A486" s="2" t="s">
        <v>512</v>
      </c>
      <c r="B486" s="2" t="s">
        <v>15</v>
      </c>
      <c r="C486" s="2" t="s">
        <v>16</v>
      </c>
      <c r="D486" s="3">
        <v>45937</v>
      </c>
      <c r="E486" s="3">
        <v>45941</v>
      </c>
      <c r="F486" s="3">
        <v>45942</v>
      </c>
      <c r="G486" s="3">
        <v>45944</v>
      </c>
      <c r="H486" s="23" t="str">
        <f t="shared" si="7"/>
        <v>Delivered</v>
      </c>
      <c r="I486" s="2" t="s">
        <v>17</v>
      </c>
      <c r="J486" s="24" t="s">
        <v>1054</v>
      </c>
      <c r="K486" s="3">
        <v>45965</v>
      </c>
      <c r="L486" s="2">
        <v>4</v>
      </c>
      <c r="M486" s="2">
        <v>1</v>
      </c>
      <c r="N486" s="2">
        <v>2</v>
      </c>
      <c r="O486" s="36">
        <v>6</v>
      </c>
      <c r="P486" s="24" t="str" cm="1">
        <f t="array" ref="P486">_xlfn.IFS(O486&lt;=6,"Detractors",AND(O486&gt;=7,O486&lt;=8),"Passives",AND(O486&gt;8,O486&lt;=10),"Promoters",O486="Not Available","NA")</f>
        <v>Detractors</v>
      </c>
    </row>
    <row r="487" spans="1:16" ht="14.25" customHeight="1" x14ac:dyDescent="0.3">
      <c r="A487" s="2" t="s">
        <v>513</v>
      </c>
      <c r="B487" s="2" t="s">
        <v>32</v>
      </c>
      <c r="C487" s="2" t="s">
        <v>16</v>
      </c>
      <c r="D487" s="3">
        <v>45953</v>
      </c>
      <c r="E487" s="3">
        <v>45955</v>
      </c>
      <c r="F487" s="3">
        <v>45959</v>
      </c>
      <c r="G487" s="3">
        <v>45963</v>
      </c>
      <c r="H487" s="23" t="str">
        <f t="shared" si="7"/>
        <v>Delivered</v>
      </c>
      <c r="I487" s="2" t="s">
        <v>23</v>
      </c>
      <c r="J487" s="2" t="s">
        <v>26</v>
      </c>
      <c r="L487" s="2">
        <v>2</v>
      </c>
      <c r="M487" s="2">
        <v>4</v>
      </c>
      <c r="N487" s="2">
        <v>4</v>
      </c>
      <c r="O487" t="s">
        <v>1080</v>
      </c>
      <c r="P487" s="24" t="str" cm="1">
        <f t="array" ref="P487">_xlfn.IFS(O487&lt;=6,"Detractors",AND(O487&gt;=7,O487&lt;=8),"Passives",AND(O487&gt;8,O487&lt;=10),"Promoters",O487="Not Available","NA")</f>
        <v>NA</v>
      </c>
    </row>
    <row r="488" spans="1:16" ht="14.25" customHeight="1" x14ac:dyDescent="0.3">
      <c r="A488" s="2" t="s">
        <v>514</v>
      </c>
      <c r="B488" s="2" t="s">
        <v>32</v>
      </c>
      <c r="C488" s="2" t="s">
        <v>16</v>
      </c>
      <c r="D488" s="3">
        <v>45938</v>
      </c>
      <c r="E488" s="3">
        <v>45942</v>
      </c>
      <c r="F488" s="3">
        <v>45945</v>
      </c>
      <c r="G488" s="3">
        <v>45949</v>
      </c>
      <c r="H488" s="23" t="str">
        <f t="shared" si="7"/>
        <v>Delivered</v>
      </c>
      <c r="I488" s="2" t="s">
        <v>17</v>
      </c>
      <c r="J488" s="24" t="s">
        <v>1054</v>
      </c>
      <c r="K488" s="3">
        <v>45973</v>
      </c>
      <c r="L488" s="2">
        <v>4</v>
      </c>
      <c r="M488" s="2">
        <v>3</v>
      </c>
      <c r="N488" s="2">
        <v>4</v>
      </c>
      <c r="O488" s="36">
        <v>9</v>
      </c>
      <c r="P488" s="24" t="str" cm="1">
        <f t="array" ref="P488">_xlfn.IFS(O488&lt;=6,"Detractors",AND(O488&gt;=7,O488&lt;=8),"Passives",AND(O488&gt;8,O488&lt;=10),"Promoters",O488="Not Available","NA")</f>
        <v>Promoters</v>
      </c>
    </row>
    <row r="489" spans="1:16" ht="14.25" customHeight="1" x14ac:dyDescent="0.3">
      <c r="A489" s="42" t="s">
        <v>515</v>
      </c>
      <c r="B489" s="2" t="s">
        <v>21</v>
      </c>
      <c r="C489" s="2" t="s">
        <v>30</v>
      </c>
      <c r="D489" s="3">
        <v>45949</v>
      </c>
      <c r="E489" s="3">
        <v>45953</v>
      </c>
      <c r="F489" s="3">
        <v>45954</v>
      </c>
      <c r="G489" s="3">
        <v>45957</v>
      </c>
      <c r="H489" s="23" t="str">
        <f t="shared" si="7"/>
        <v>Delivered</v>
      </c>
      <c r="I489" s="2" t="s">
        <v>17</v>
      </c>
      <c r="J489" s="24" t="s">
        <v>1054</v>
      </c>
      <c r="K489" s="3">
        <v>45983</v>
      </c>
      <c r="L489" s="2">
        <v>4</v>
      </c>
      <c r="M489" s="2">
        <v>1</v>
      </c>
      <c r="N489" s="2">
        <v>3</v>
      </c>
      <c r="O489" s="36">
        <v>4</v>
      </c>
      <c r="P489" s="24" t="str" cm="1">
        <f t="array" ref="P489">_xlfn.IFS(O489&lt;=6,"Detractors",AND(O489&gt;=7,O489&lt;=8),"Passives",AND(O489&gt;8,O489&lt;=10),"Promoters",O489="Not Available","NA")</f>
        <v>Detractors</v>
      </c>
    </row>
    <row r="490" spans="1:16" ht="14.25" customHeight="1" x14ac:dyDescent="0.3">
      <c r="A490" s="2" t="s">
        <v>516</v>
      </c>
      <c r="B490" s="2" t="s">
        <v>21</v>
      </c>
      <c r="C490" s="2" t="s">
        <v>16</v>
      </c>
      <c r="D490" s="3">
        <v>45943</v>
      </c>
      <c r="E490" s="3">
        <v>45948</v>
      </c>
      <c r="F490" s="3">
        <v>45953</v>
      </c>
      <c r="G490" s="3">
        <v>45958</v>
      </c>
      <c r="H490" s="23" t="str">
        <f t="shared" si="7"/>
        <v>Delivered</v>
      </c>
      <c r="I490" s="2" t="s">
        <v>17</v>
      </c>
      <c r="J490" s="24" t="s">
        <v>1054</v>
      </c>
      <c r="K490" s="3">
        <v>45980</v>
      </c>
      <c r="L490" s="2">
        <v>5</v>
      </c>
      <c r="M490" s="2">
        <v>5</v>
      </c>
      <c r="N490" s="2">
        <v>5</v>
      </c>
      <c r="O490" s="36">
        <v>5</v>
      </c>
      <c r="P490" s="24" t="str" cm="1">
        <f t="array" ref="P490">_xlfn.IFS(O490&lt;=6,"Detractors",AND(O490&gt;=7,O490&lt;=8),"Passives",AND(O490&gt;8,O490&lt;=10),"Promoters",O490="Not Available","NA")</f>
        <v>Detractors</v>
      </c>
    </row>
    <row r="491" spans="1:16" ht="14.25" customHeight="1" x14ac:dyDescent="0.3">
      <c r="A491" s="42" t="s">
        <v>517</v>
      </c>
      <c r="B491" s="2" t="s">
        <v>21</v>
      </c>
      <c r="C491" s="2" t="s">
        <v>30</v>
      </c>
      <c r="D491" s="3">
        <v>45938</v>
      </c>
      <c r="E491" s="3">
        <v>45939</v>
      </c>
      <c r="F491" s="3">
        <v>45941</v>
      </c>
      <c r="G491" s="3">
        <v>45947</v>
      </c>
      <c r="H491" s="23" t="str">
        <f t="shared" si="7"/>
        <v>Delivered</v>
      </c>
      <c r="I491" s="2" t="s">
        <v>17</v>
      </c>
      <c r="J491" s="24" t="s">
        <v>1054</v>
      </c>
      <c r="K491" s="3">
        <v>45977</v>
      </c>
      <c r="L491" s="2">
        <v>1</v>
      </c>
      <c r="M491" s="2">
        <v>2</v>
      </c>
      <c r="N491" s="2">
        <v>6</v>
      </c>
      <c r="O491" s="36">
        <v>2</v>
      </c>
      <c r="P491" s="24" t="str" cm="1">
        <f t="array" ref="P491">_xlfn.IFS(O491&lt;=6,"Detractors",AND(O491&gt;=7,O491&lt;=8),"Passives",AND(O491&gt;8,O491&lt;=10),"Promoters",O491="Not Available","NA")</f>
        <v>Detractors</v>
      </c>
    </row>
    <row r="492" spans="1:16" ht="14.25" customHeight="1" x14ac:dyDescent="0.3">
      <c r="A492" s="2" t="s">
        <v>518</v>
      </c>
      <c r="B492" s="2" t="s">
        <v>19</v>
      </c>
      <c r="C492" s="2" t="s">
        <v>16</v>
      </c>
      <c r="D492" s="3">
        <v>45958</v>
      </c>
      <c r="E492" s="3">
        <v>45959</v>
      </c>
      <c r="F492" s="3">
        <v>45960</v>
      </c>
      <c r="G492" s="3">
        <v>45965</v>
      </c>
      <c r="H492" s="23" t="str">
        <f t="shared" si="7"/>
        <v>Delivered</v>
      </c>
      <c r="I492" s="2" t="s">
        <v>17</v>
      </c>
      <c r="J492" s="24" t="s">
        <v>1054</v>
      </c>
      <c r="K492" s="3">
        <v>45978</v>
      </c>
      <c r="L492" s="2">
        <v>1</v>
      </c>
      <c r="M492" s="2">
        <v>1</v>
      </c>
      <c r="N492" s="2">
        <v>5</v>
      </c>
      <c r="O492" s="36">
        <v>9</v>
      </c>
      <c r="P492" s="24" t="str" cm="1">
        <f t="array" ref="P492">_xlfn.IFS(O492&lt;=6,"Detractors",AND(O492&gt;=7,O492&lt;=8),"Passives",AND(O492&gt;8,O492&lt;=10),"Promoters",O492="Not Available","NA")</f>
        <v>Promoters</v>
      </c>
    </row>
    <row r="493" spans="1:16" ht="14.25" customHeight="1" x14ac:dyDescent="0.3">
      <c r="A493" s="2" t="s">
        <v>519</v>
      </c>
      <c r="B493" s="2" t="s">
        <v>19</v>
      </c>
      <c r="C493" s="2" t="s">
        <v>16</v>
      </c>
      <c r="D493" s="3">
        <v>45955</v>
      </c>
      <c r="E493" s="3">
        <v>45956</v>
      </c>
      <c r="F493" s="3">
        <v>45959</v>
      </c>
      <c r="G493" s="3">
        <v>45963</v>
      </c>
      <c r="H493" s="23" t="str">
        <f t="shared" si="7"/>
        <v>Delivered</v>
      </c>
      <c r="I493" s="2" t="s">
        <v>23</v>
      </c>
      <c r="J493" s="2" t="s">
        <v>24</v>
      </c>
      <c r="L493" s="2">
        <v>1</v>
      </c>
      <c r="M493" s="2">
        <v>3</v>
      </c>
      <c r="N493" s="2">
        <v>4</v>
      </c>
      <c r="O493" t="s">
        <v>1080</v>
      </c>
      <c r="P493" s="24" t="str" cm="1">
        <f t="array" ref="P493">_xlfn.IFS(O493&lt;=6,"Detractors",AND(O493&gt;=7,O493&lt;=8),"Passives",AND(O493&gt;8,O493&lt;=10),"Promoters",O493="Not Available","NA")</f>
        <v>NA</v>
      </c>
    </row>
    <row r="494" spans="1:16" ht="14.25" customHeight="1" x14ac:dyDescent="0.3">
      <c r="A494" s="2" t="s">
        <v>520</v>
      </c>
      <c r="B494" s="2" t="s">
        <v>21</v>
      </c>
      <c r="C494" s="2" t="s">
        <v>16</v>
      </c>
      <c r="D494" s="3">
        <v>45944</v>
      </c>
      <c r="E494" s="3">
        <v>45947</v>
      </c>
      <c r="F494" s="3">
        <v>45951</v>
      </c>
      <c r="G494" s="3">
        <v>45957</v>
      </c>
      <c r="H494" s="23" t="str">
        <f t="shared" si="7"/>
        <v>Delivered</v>
      </c>
      <c r="I494" s="2" t="s">
        <v>17</v>
      </c>
      <c r="J494" s="24" t="s">
        <v>1054</v>
      </c>
      <c r="K494" s="3">
        <v>45967</v>
      </c>
      <c r="L494" s="2">
        <v>3</v>
      </c>
      <c r="M494" s="2">
        <v>4</v>
      </c>
      <c r="N494" s="2">
        <v>6</v>
      </c>
      <c r="O494" s="36">
        <v>3</v>
      </c>
      <c r="P494" s="24" t="str" cm="1">
        <f t="array" ref="P494">_xlfn.IFS(O494&lt;=6,"Detractors",AND(O494&gt;=7,O494&lt;=8),"Passives",AND(O494&gt;8,O494&lt;=10),"Promoters",O494="Not Available","NA")</f>
        <v>Detractors</v>
      </c>
    </row>
    <row r="495" spans="1:16" ht="14.25" customHeight="1" x14ac:dyDescent="0.3">
      <c r="A495" s="2" t="s">
        <v>521</v>
      </c>
      <c r="B495" s="2" t="s">
        <v>21</v>
      </c>
      <c r="C495" s="2" t="s">
        <v>16</v>
      </c>
      <c r="D495" s="3">
        <v>45932</v>
      </c>
      <c r="E495" s="3">
        <v>45934</v>
      </c>
      <c r="F495" s="3">
        <v>45939</v>
      </c>
      <c r="G495" s="3">
        <v>45946</v>
      </c>
      <c r="H495" s="23" t="str">
        <f t="shared" si="7"/>
        <v>Delivered</v>
      </c>
      <c r="I495" s="2" t="s">
        <v>17</v>
      </c>
      <c r="J495" s="24" t="s">
        <v>1054</v>
      </c>
      <c r="K495" s="3">
        <v>45963</v>
      </c>
      <c r="L495" s="2">
        <v>2</v>
      </c>
      <c r="M495" s="2">
        <v>5</v>
      </c>
      <c r="N495" s="2">
        <v>7</v>
      </c>
      <c r="O495" s="36">
        <v>1</v>
      </c>
      <c r="P495" s="24" t="str" cm="1">
        <f t="array" ref="P495">_xlfn.IFS(O495&lt;=6,"Detractors",AND(O495&gt;=7,O495&lt;=8),"Passives",AND(O495&gt;8,O495&lt;=10),"Promoters",O495="Not Available","NA")</f>
        <v>Detractors</v>
      </c>
    </row>
    <row r="496" spans="1:16" ht="14.25" customHeight="1" x14ac:dyDescent="0.3">
      <c r="A496" s="2" t="s">
        <v>522</v>
      </c>
      <c r="B496" s="2" t="s">
        <v>21</v>
      </c>
      <c r="C496" s="2" t="s">
        <v>22</v>
      </c>
      <c r="D496" s="3">
        <v>45941</v>
      </c>
      <c r="H496" s="23" t="str">
        <f t="shared" si="7"/>
        <v>Not Delivered</v>
      </c>
      <c r="I496" s="2" t="s">
        <v>23</v>
      </c>
      <c r="J496" s="2" t="s">
        <v>101</v>
      </c>
      <c r="L496">
        <v>0</v>
      </c>
      <c r="M496">
        <v>0</v>
      </c>
      <c r="N496">
        <v>0</v>
      </c>
      <c r="O496" t="s">
        <v>1080</v>
      </c>
      <c r="P496" s="24" t="str" cm="1">
        <f t="array" ref="P496">_xlfn.IFS(O496&lt;=6,"Detractors",AND(O496&gt;=7,O496&lt;=8),"Passives",AND(O496&gt;8,O496&lt;=10),"Promoters",O496="Not Available","NA")</f>
        <v>NA</v>
      </c>
    </row>
    <row r="497" spans="1:16" ht="14.25" customHeight="1" x14ac:dyDescent="0.3">
      <c r="A497" s="2" t="s">
        <v>523</v>
      </c>
      <c r="B497" s="2" t="s">
        <v>32</v>
      </c>
      <c r="C497" s="2" t="s">
        <v>22</v>
      </c>
      <c r="D497" s="3">
        <v>45954</v>
      </c>
      <c r="H497" s="23" t="str">
        <f t="shared" si="7"/>
        <v>Not Delivered</v>
      </c>
      <c r="I497" s="2" t="s">
        <v>23</v>
      </c>
      <c r="J497" s="2" t="s">
        <v>63</v>
      </c>
      <c r="L497">
        <v>0</v>
      </c>
      <c r="M497">
        <v>0</v>
      </c>
      <c r="N497">
        <v>0</v>
      </c>
      <c r="O497" t="s">
        <v>1080</v>
      </c>
      <c r="P497" s="24" t="str" cm="1">
        <f t="array" ref="P497">_xlfn.IFS(O497&lt;=6,"Detractors",AND(O497&gt;=7,O497&lt;=8),"Passives",AND(O497&gt;8,O497&lt;=10),"Promoters",O497="Not Available","NA")</f>
        <v>NA</v>
      </c>
    </row>
    <row r="498" spans="1:16" ht="14.25" customHeight="1" x14ac:dyDescent="0.3">
      <c r="A498" s="2" t="s">
        <v>524</v>
      </c>
      <c r="B498" s="2" t="s">
        <v>19</v>
      </c>
      <c r="C498" s="2" t="s">
        <v>22</v>
      </c>
      <c r="D498" s="3">
        <v>45946</v>
      </c>
      <c r="H498" s="23" t="str">
        <f t="shared" si="7"/>
        <v>Not Delivered</v>
      </c>
      <c r="I498" s="2" t="s">
        <v>23</v>
      </c>
      <c r="J498" s="2" t="s">
        <v>63</v>
      </c>
      <c r="L498">
        <v>0</v>
      </c>
      <c r="M498">
        <v>0</v>
      </c>
      <c r="N498">
        <v>0</v>
      </c>
      <c r="O498" t="s">
        <v>1080</v>
      </c>
      <c r="P498" s="24" t="str" cm="1">
        <f t="array" ref="P498">_xlfn.IFS(O498&lt;=6,"Detractors",AND(O498&gt;=7,O498&lt;=8),"Passives",AND(O498&gt;8,O498&lt;=10),"Promoters",O498="Not Available","NA")</f>
        <v>NA</v>
      </c>
    </row>
    <row r="499" spans="1:16" ht="14.25" customHeight="1" x14ac:dyDescent="0.3">
      <c r="A499" s="2" t="s">
        <v>525</v>
      </c>
      <c r="B499" s="2" t="s">
        <v>32</v>
      </c>
      <c r="C499" s="2" t="s">
        <v>22</v>
      </c>
      <c r="D499" s="3">
        <v>45953</v>
      </c>
      <c r="H499" s="23" t="str">
        <f t="shared" si="7"/>
        <v>Not Delivered</v>
      </c>
      <c r="I499" s="2" t="s">
        <v>23</v>
      </c>
      <c r="J499" s="2" t="s">
        <v>101</v>
      </c>
      <c r="L499">
        <v>0</v>
      </c>
      <c r="M499">
        <v>0</v>
      </c>
      <c r="N499">
        <v>0</v>
      </c>
      <c r="O499" t="s">
        <v>1080</v>
      </c>
      <c r="P499" s="24" t="str" cm="1">
        <f t="array" ref="P499">_xlfn.IFS(O499&lt;=6,"Detractors",AND(O499&gt;=7,O499&lt;=8),"Passives",AND(O499&gt;8,O499&lt;=10),"Promoters",O499="Not Available","NA")</f>
        <v>NA</v>
      </c>
    </row>
    <row r="500" spans="1:16" ht="14.25" customHeight="1" x14ac:dyDescent="0.3">
      <c r="A500" s="42" t="s">
        <v>526</v>
      </c>
      <c r="B500" s="2" t="s">
        <v>32</v>
      </c>
      <c r="C500" s="2" t="s">
        <v>30</v>
      </c>
      <c r="D500" s="3">
        <v>45960</v>
      </c>
      <c r="E500" s="3">
        <v>45962</v>
      </c>
      <c r="F500" s="3">
        <v>45967</v>
      </c>
      <c r="G500" s="3">
        <v>45970</v>
      </c>
      <c r="H500" s="23" t="str">
        <f t="shared" si="7"/>
        <v>Delivered</v>
      </c>
      <c r="I500" s="2" t="s">
        <v>17</v>
      </c>
      <c r="J500" s="24" t="s">
        <v>1054</v>
      </c>
      <c r="K500" s="3">
        <v>45991</v>
      </c>
      <c r="L500" s="2">
        <v>2</v>
      </c>
      <c r="M500" s="2">
        <v>5</v>
      </c>
      <c r="N500" s="2">
        <v>3</v>
      </c>
      <c r="O500" s="36">
        <v>8</v>
      </c>
      <c r="P500" s="24" t="str" cm="1">
        <f t="array" ref="P500">_xlfn.IFS(O500&lt;=6,"Detractors",AND(O500&gt;=7,O500&lt;=8),"Passives",AND(O500&gt;8,O500&lt;=10),"Promoters",O500="Not Available","NA")</f>
        <v>Passives</v>
      </c>
    </row>
    <row r="501" spans="1:16" ht="14.25" customHeight="1" x14ac:dyDescent="0.3">
      <c r="A501" s="42" t="s">
        <v>527</v>
      </c>
      <c r="B501" s="2" t="s">
        <v>21</v>
      </c>
      <c r="C501" s="2" t="s">
        <v>30</v>
      </c>
      <c r="D501" s="3">
        <v>45956</v>
      </c>
      <c r="E501" s="3">
        <v>45961</v>
      </c>
      <c r="F501" s="3">
        <v>45962</v>
      </c>
      <c r="G501" s="3">
        <v>45967</v>
      </c>
      <c r="H501" s="23" t="str">
        <f t="shared" si="7"/>
        <v>Delivered</v>
      </c>
      <c r="I501" s="2" t="s">
        <v>17</v>
      </c>
      <c r="J501" s="24" t="s">
        <v>1054</v>
      </c>
      <c r="K501" s="3">
        <v>45992</v>
      </c>
      <c r="L501" s="2">
        <v>5</v>
      </c>
      <c r="M501" s="2">
        <v>1</v>
      </c>
      <c r="N501" s="2">
        <v>5</v>
      </c>
      <c r="O501" s="36">
        <v>7</v>
      </c>
      <c r="P501" s="24" t="str" cm="1">
        <f t="array" ref="P501">_xlfn.IFS(O501&lt;=6,"Detractors",AND(O501&gt;=7,O501&lt;=8),"Passives",AND(O501&gt;8,O501&lt;=10),"Promoters",O501="Not Available","NA")</f>
        <v>Passives</v>
      </c>
    </row>
    <row r="502" spans="1:16" ht="14.25" customHeight="1" x14ac:dyDescent="0.3">
      <c r="A502" s="2" t="s">
        <v>528</v>
      </c>
      <c r="B502" s="2" t="s">
        <v>21</v>
      </c>
      <c r="C502" s="2" t="s">
        <v>16</v>
      </c>
      <c r="D502" s="3">
        <v>45943</v>
      </c>
      <c r="E502" s="3">
        <v>45948</v>
      </c>
      <c r="F502" s="3">
        <v>45949</v>
      </c>
      <c r="G502" s="3">
        <v>45951</v>
      </c>
      <c r="H502" s="23" t="str">
        <f t="shared" si="7"/>
        <v>Delivered</v>
      </c>
      <c r="I502" s="2" t="s">
        <v>17</v>
      </c>
      <c r="J502" s="24" t="s">
        <v>1054</v>
      </c>
      <c r="K502" s="3">
        <v>45980</v>
      </c>
      <c r="L502" s="2">
        <v>5</v>
      </c>
      <c r="M502" s="2">
        <v>1</v>
      </c>
      <c r="N502" s="2">
        <v>2</v>
      </c>
      <c r="O502" s="36">
        <v>9</v>
      </c>
      <c r="P502" s="24" t="str" cm="1">
        <f t="array" ref="P502">_xlfn.IFS(O502&lt;=6,"Detractors",AND(O502&gt;=7,O502&lt;=8),"Passives",AND(O502&gt;8,O502&lt;=10),"Promoters",O502="Not Available","NA")</f>
        <v>Promoters</v>
      </c>
    </row>
    <row r="503" spans="1:16" ht="14.25" customHeight="1" x14ac:dyDescent="0.3">
      <c r="A503" s="42" t="s">
        <v>529</v>
      </c>
      <c r="B503" s="2" t="s">
        <v>15</v>
      </c>
      <c r="C503" s="2" t="s">
        <v>30</v>
      </c>
      <c r="D503" s="3">
        <v>45943</v>
      </c>
      <c r="E503" s="3">
        <v>45948</v>
      </c>
      <c r="F503" s="3">
        <v>45950</v>
      </c>
      <c r="G503" s="3">
        <v>45952</v>
      </c>
      <c r="H503" s="23" t="str">
        <f t="shared" si="7"/>
        <v>Delivered</v>
      </c>
      <c r="I503" s="2" t="s">
        <v>17</v>
      </c>
      <c r="J503" s="24" t="s">
        <v>1054</v>
      </c>
      <c r="K503" s="3">
        <v>45976</v>
      </c>
      <c r="L503" s="2">
        <v>5</v>
      </c>
      <c r="M503" s="2">
        <v>2</v>
      </c>
      <c r="N503" s="2">
        <v>2</v>
      </c>
      <c r="O503" s="36">
        <v>4</v>
      </c>
      <c r="P503" s="24" t="str" cm="1">
        <f t="array" ref="P503">_xlfn.IFS(O503&lt;=6,"Detractors",AND(O503&gt;=7,O503&lt;=8),"Passives",AND(O503&gt;8,O503&lt;=10),"Promoters",O503="Not Available","NA")</f>
        <v>Detractors</v>
      </c>
    </row>
    <row r="504" spans="1:16" ht="14.25" customHeight="1" x14ac:dyDescent="0.3">
      <c r="A504" s="2" t="s">
        <v>530</v>
      </c>
      <c r="B504" s="2" t="s">
        <v>15</v>
      </c>
      <c r="C504" s="2" t="s">
        <v>16</v>
      </c>
      <c r="D504" s="3">
        <v>45952</v>
      </c>
      <c r="E504" s="3">
        <v>45956</v>
      </c>
      <c r="F504" s="3">
        <v>45961</v>
      </c>
      <c r="G504" s="3">
        <v>45967</v>
      </c>
      <c r="H504" s="23" t="str">
        <f t="shared" si="7"/>
        <v>Delivered</v>
      </c>
      <c r="I504" s="2" t="s">
        <v>17</v>
      </c>
      <c r="J504" s="24" t="s">
        <v>1054</v>
      </c>
      <c r="K504" s="3">
        <v>45982</v>
      </c>
      <c r="L504" s="2">
        <v>4</v>
      </c>
      <c r="M504" s="2">
        <v>5</v>
      </c>
      <c r="N504" s="2">
        <v>6</v>
      </c>
      <c r="O504" s="36">
        <v>5</v>
      </c>
      <c r="P504" s="24" t="str" cm="1">
        <f t="array" ref="P504">_xlfn.IFS(O504&lt;=6,"Detractors",AND(O504&gt;=7,O504&lt;=8),"Passives",AND(O504&gt;8,O504&lt;=10),"Promoters",O504="Not Available","NA")</f>
        <v>Detractors</v>
      </c>
    </row>
    <row r="505" spans="1:16" ht="14.25" customHeight="1" x14ac:dyDescent="0.3">
      <c r="A505" s="2" t="s">
        <v>531</v>
      </c>
      <c r="B505" s="2" t="s">
        <v>32</v>
      </c>
      <c r="C505" s="2" t="s">
        <v>16</v>
      </c>
      <c r="D505" s="3">
        <v>45956</v>
      </c>
      <c r="E505" s="3">
        <v>45957</v>
      </c>
      <c r="F505" s="3">
        <v>45962</v>
      </c>
      <c r="G505" s="3">
        <v>45964</v>
      </c>
      <c r="H505" s="23" t="str">
        <f t="shared" si="7"/>
        <v>Delivered</v>
      </c>
      <c r="I505" s="2" t="s">
        <v>17</v>
      </c>
      <c r="J505" s="24" t="s">
        <v>1054</v>
      </c>
      <c r="K505" s="3">
        <v>45989</v>
      </c>
      <c r="L505" s="2">
        <v>1</v>
      </c>
      <c r="M505" s="2">
        <v>5</v>
      </c>
      <c r="N505" s="2">
        <v>2</v>
      </c>
      <c r="O505" s="36">
        <v>10</v>
      </c>
      <c r="P505" s="24" t="str" cm="1">
        <f t="array" ref="P505">_xlfn.IFS(O505&lt;=6,"Detractors",AND(O505&gt;=7,O505&lt;=8),"Passives",AND(O505&gt;8,O505&lt;=10),"Promoters",O505="Not Available","NA")</f>
        <v>Promoters</v>
      </c>
    </row>
    <row r="506" spans="1:16" ht="14.25" customHeight="1" x14ac:dyDescent="0.3">
      <c r="A506" s="2" t="s">
        <v>532</v>
      </c>
      <c r="B506" s="2" t="s">
        <v>19</v>
      </c>
      <c r="C506" s="2" t="s">
        <v>16</v>
      </c>
      <c r="D506" s="3">
        <v>45957</v>
      </c>
      <c r="E506" s="3">
        <v>45960</v>
      </c>
      <c r="F506" s="3">
        <v>45962</v>
      </c>
      <c r="G506" s="3">
        <v>45964</v>
      </c>
      <c r="H506" s="23" t="str">
        <f t="shared" si="7"/>
        <v>Delivered</v>
      </c>
      <c r="I506" s="2" t="s">
        <v>17</v>
      </c>
      <c r="J506" s="24" t="s">
        <v>1054</v>
      </c>
      <c r="K506" s="3">
        <v>45992</v>
      </c>
      <c r="L506" s="2">
        <v>3</v>
      </c>
      <c r="M506" s="2">
        <v>2</v>
      </c>
      <c r="N506" s="2">
        <v>2</v>
      </c>
      <c r="O506" s="36">
        <v>1</v>
      </c>
      <c r="P506" s="24" t="str" cm="1">
        <f t="array" ref="P506">_xlfn.IFS(O506&lt;=6,"Detractors",AND(O506&gt;=7,O506&lt;=8),"Passives",AND(O506&gt;8,O506&lt;=10),"Promoters",O506="Not Available","NA")</f>
        <v>Detractors</v>
      </c>
    </row>
    <row r="507" spans="1:16" ht="14.25" customHeight="1" x14ac:dyDescent="0.3">
      <c r="A507" s="2" t="s">
        <v>533</v>
      </c>
      <c r="B507" s="2" t="s">
        <v>21</v>
      </c>
      <c r="C507" s="2" t="s">
        <v>16</v>
      </c>
      <c r="D507" s="3">
        <v>45951</v>
      </c>
      <c r="E507" s="3">
        <v>45953</v>
      </c>
      <c r="F507" s="3">
        <v>45957</v>
      </c>
      <c r="G507" s="3">
        <v>45961</v>
      </c>
      <c r="H507" s="23" t="str">
        <f t="shared" si="7"/>
        <v>Delivered</v>
      </c>
      <c r="I507" s="2" t="s">
        <v>17</v>
      </c>
      <c r="J507" s="24" t="s">
        <v>1054</v>
      </c>
      <c r="K507" s="3">
        <v>45988</v>
      </c>
      <c r="L507" s="2">
        <v>2</v>
      </c>
      <c r="M507" s="2">
        <v>4</v>
      </c>
      <c r="N507" s="2">
        <v>4</v>
      </c>
      <c r="O507" s="36">
        <v>10</v>
      </c>
      <c r="P507" s="24" t="str" cm="1">
        <f t="array" ref="P507">_xlfn.IFS(O507&lt;=6,"Detractors",AND(O507&gt;=7,O507&lt;=8),"Passives",AND(O507&gt;8,O507&lt;=10),"Promoters",O507="Not Available","NA")</f>
        <v>Promoters</v>
      </c>
    </row>
    <row r="508" spans="1:16" ht="14.25" customHeight="1" x14ac:dyDescent="0.3">
      <c r="A508" s="2" t="s">
        <v>534</v>
      </c>
      <c r="B508" s="2" t="s">
        <v>21</v>
      </c>
      <c r="C508" s="2" t="s">
        <v>16</v>
      </c>
      <c r="D508" s="3">
        <v>45935</v>
      </c>
      <c r="E508" s="3">
        <v>45938</v>
      </c>
      <c r="F508" s="3">
        <v>45940</v>
      </c>
      <c r="G508" s="3">
        <v>45943</v>
      </c>
      <c r="H508" s="23" t="str">
        <f t="shared" si="7"/>
        <v>Delivered</v>
      </c>
      <c r="I508" s="2" t="s">
        <v>17</v>
      </c>
      <c r="J508" s="24" t="s">
        <v>1054</v>
      </c>
      <c r="K508" s="3">
        <v>45964</v>
      </c>
      <c r="L508" s="2">
        <v>3</v>
      </c>
      <c r="M508" s="2">
        <v>2</v>
      </c>
      <c r="N508" s="2">
        <v>3</v>
      </c>
      <c r="O508" s="36">
        <v>5</v>
      </c>
      <c r="P508" s="24" t="str" cm="1">
        <f t="array" ref="P508">_xlfn.IFS(O508&lt;=6,"Detractors",AND(O508&gt;=7,O508&lt;=8),"Passives",AND(O508&gt;8,O508&lt;=10),"Promoters",O508="Not Available","NA")</f>
        <v>Detractors</v>
      </c>
    </row>
    <row r="509" spans="1:16" ht="14.25" customHeight="1" x14ac:dyDescent="0.3">
      <c r="A509" s="2" t="s">
        <v>535</v>
      </c>
      <c r="B509" s="2" t="s">
        <v>32</v>
      </c>
      <c r="C509" s="2" t="s">
        <v>16</v>
      </c>
      <c r="D509" s="3">
        <v>45946</v>
      </c>
      <c r="E509" s="3">
        <v>45947</v>
      </c>
      <c r="F509" s="3">
        <v>45950</v>
      </c>
      <c r="G509" s="3">
        <v>45952</v>
      </c>
      <c r="H509" s="23" t="str">
        <f t="shared" si="7"/>
        <v>Delivered</v>
      </c>
      <c r="I509" s="2" t="s">
        <v>17</v>
      </c>
      <c r="J509" s="24" t="s">
        <v>1054</v>
      </c>
      <c r="K509" s="3">
        <v>45973</v>
      </c>
      <c r="L509" s="2">
        <v>1</v>
      </c>
      <c r="M509" s="2">
        <v>3</v>
      </c>
      <c r="N509" s="2">
        <v>2</v>
      </c>
      <c r="O509" s="36">
        <v>5</v>
      </c>
      <c r="P509" s="24" t="str" cm="1">
        <f t="array" ref="P509">_xlfn.IFS(O509&lt;=6,"Detractors",AND(O509&gt;=7,O509&lt;=8),"Passives",AND(O509&gt;8,O509&lt;=10),"Promoters",O509="Not Available","NA")</f>
        <v>Detractors</v>
      </c>
    </row>
    <row r="510" spans="1:16" ht="14.25" customHeight="1" x14ac:dyDescent="0.3">
      <c r="A510" s="2" t="s">
        <v>536</v>
      </c>
      <c r="B510" s="2" t="s">
        <v>15</v>
      </c>
      <c r="C510" s="2" t="s">
        <v>22</v>
      </c>
      <c r="D510" s="3">
        <v>45961</v>
      </c>
      <c r="H510" s="23" t="str">
        <f t="shared" si="7"/>
        <v>Not Delivered</v>
      </c>
      <c r="I510" s="2" t="s">
        <v>23</v>
      </c>
      <c r="J510" s="2" t="s">
        <v>63</v>
      </c>
      <c r="L510">
        <v>0</v>
      </c>
      <c r="M510">
        <v>0</v>
      </c>
      <c r="N510">
        <v>0</v>
      </c>
      <c r="O510" t="s">
        <v>1080</v>
      </c>
      <c r="P510" s="24" t="str" cm="1">
        <f t="array" ref="P510">_xlfn.IFS(O510&lt;=6,"Detractors",AND(O510&gt;=7,O510&lt;=8),"Passives",AND(O510&gt;8,O510&lt;=10),"Promoters",O510="Not Available","NA")</f>
        <v>NA</v>
      </c>
    </row>
    <row r="511" spans="1:16" ht="14.25" customHeight="1" x14ac:dyDescent="0.3">
      <c r="A511" s="2" t="s">
        <v>537</v>
      </c>
      <c r="B511" s="2" t="s">
        <v>19</v>
      </c>
      <c r="C511" s="2" t="s">
        <v>16</v>
      </c>
      <c r="D511" s="3">
        <v>45932</v>
      </c>
      <c r="E511" s="3">
        <v>45933</v>
      </c>
      <c r="F511" s="3">
        <v>45936</v>
      </c>
      <c r="G511" s="3">
        <v>45938</v>
      </c>
      <c r="H511" s="23" t="str">
        <f t="shared" si="7"/>
        <v>Delivered</v>
      </c>
      <c r="I511" s="2" t="s">
        <v>17</v>
      </c>
      <c r="J511" s="24" t="s">
        <v>1054</v>
      </c>
      <c r="K511" s="3">
        <v>45953</v>
      </c>
      <c r="L511" s="2">
        <v>1</v>
      </c>
      <c r="M511" s="2">
        <v>3</v>
      </c>
      <c r="N511" s="2">
        <v>2</v>
      </c>
      <c r="O511" s="36">
        <v>7</v>
      </c>
      <c r="P511" s="24" t="str" cm="1">
        <f t="array" ref="P511">_xlfn.IFS(O511&lt;=6,"Detractors",AND(O511&gt;=7,O511&lt;=8),"Passives",AND(O511&gt;8,O511&lt;=10),"Promoters",O511="Not Available","NA")</f>
        <v>Passives</v>
      </c>
    </row>
    <row r="512" spans="1:16" ht="14.25" customHeight="1" x14ac:dyDescent="0.3">
      <c r="A512" s="2" t="s">
        <v>538</v>
      </c>
      <c r="B512" s="2" t="s">
        <v>15</v>
      </c>
      <c r="C512" s="2" t="s">
        <v>22</v>
      </c>
      <c r="D512" s="3">
        <v>45935</v>
      </c>
      <c r="H512" s="23" t="str">
        <f t="shared" si="7"/>
        <v>Not Delivered</v>
      </c>
      <c r="I512" s="2" t="s">
        <v>23</v>
      </c>
      <c r="J512" s="2" t="s">
        <v>33</v>
      </c>
      <c r="L512">
        <v>0</v>
      </c>
      <c r="M512">
        <v>0</v>
      </c>
      <c r="N512">
        <v>0</v>
      </c>
      <c r="O512" t="s">
        <v>1080</v>
      </c>
      <c r="P512" s="24" t="str" cm="1">
        <f t="array" ref="P512">_xlfn.IFS(O512&lt;=6,"Detractors",AND(O512&gt;=7,O512&lt;=8),"Passives",AND(O512&gt;8,O512&lt;=10),"Promoters",O512="Not Available","NA")</f>
        <v>NA</v>
      </c>
    </row>
    <row r="513" spans="1:16" ht="14.25" customHeight="1" x14ac:dyDescent="0.3">
      <c r="A513" s="42" t="s">
        <v>539</v>
      </c>
      <c r="B513" s="2" t="s">
        <v>15</v>
      </c>
      <c r="C513" s="2" t="s">
        <v>30</v>
      </c>
      <c r="D513" s="3">
        <v>45947</v>
      </c>
      <c r="E513" s="3">
        <v>45949</v>
      </c>
      <c r="F513" s="3">
        <v>45950</v>
      </c>
      <c r="G513" s="3">
        <v>45955</v>
      </c>
      <c r="H513" s="23" t="str">
        <f t="shared" si="7"/>
        <v>Delivered</v>
      </c>
      <c r="I513" s="2" t="s">
        <v>17</v>
      </c>
      <c r="J513" s="24" t="s">
        <v>1054</v>
      </c>
      <c r="K513" s="3">
        <v>45973</v>
      </c>
      <c r="L513" s="2">
        <v>2</v>
      </c>
      <c r="M513" s="2">
        <v>1</v>
      </c>
      <c r="N513" s="2">
        <v>5</v>
      </c>
      <c r="O513" s="36">
        <v>7</v>
      </c>
      <c r="P513" s="24" t="str" cm="1">
        <f t="array" ref="P513">_xlfn.IFS(O513&lt;=6,"Detractors",AND(O513&gt;=7,O513&lt;=8),"Passives",AND(O513&gt;8,O513&lt;=10),"Promoters",O513="Not Available","NA")</f>
        <v>Passives</v>
      </c>
    </row>
    <row r="514" spans="1:16" ht="14.25" customHeight="1" x14ac:dyDescent="0.3">
      <c r="A514" s="2" t="s">
        <v>540</v>
      </c>
      <c r="B514" s="2" t="s">
        <v>15</v>
      </c>
      <c r="C514" s="2" t="s">
        <v>22</v>
      </c>
      <c r="D514" s="3">
        <v>45961</v>
      </c>
      <c r="H514" s="23" t="str">
        <f t="shared" si="7"/>
        <v>Not Delivered</v>
      </c>
      <c r="I514" s="2" t="s">
        <v>23</v>
      </c>
      <c r="J514" s="2" t="s">
        <v>24</v>
      </c>
      <c r="L514">
        <v>0</v>
      </c>
      <c r="M514">
        <v>0</v>
      </c>
      <c r="N514">
        <v>0</v>
      </c>
      <c r="O514" t="s">
        <v>1080</v>
      </c>
      <c r="P514" s="24" t="str" cm="1">
        <f t="array" ref="P514">_xlfn.IFS(O514&lt;=6,"Detractors",AND(O514&gt;=7,O514&lt;=8),"Passives",AND(O514&gt;8,O514&lt;=10),"Promoters",O514="Not Available","NA")</f>
        <v>NA</v>
      </c>
    </row>
    <row r="515" spans="1:16" ht="14.25" customHeight="1" x14ac:dyDescent="0.3">
      <c r="A515" s="2" t="s">
        <v>541</v>
      </c>
      <c r="B515" s="2" t="s">
        <v>15</v>
      </c>
      <c r="C515" s="2" t="s">
        <v>16</v>
      </c>
      <c r="D515" s="3">
        <v>45949</v>
      </c>
      <c r="E515" s="3">
        <v>45953</v>
      </c>
      <c r="F515" s="3">
        <v>45955</v>
      </c>
      <c r="G515" s="3">
        <v>45961</v>
      </c>
      <c r="H515" s="23" t="str">
        <f t="shared" ref="H515:H578" si="8">IF(G515="", "Not Delivered", "Delivered")</f>
        <v>Delivered</v>
      </c>
      <c r="I515" s="2" t="s">
        <v>17</v>
      </c>
      <c r="J515" s="24" t="s">
        <v>1054</v>
      </c>
      <c r="K515" s="3">
        <v>45973</v>
      </c>
      <c r="L515" s="2">
        <v>4</v>
      </c>
      <c r="M515" s="2">
        <v>2</v>
      </c>
      <c r="N515" s="2">
        <v>6</v>
      </c>
      <c r="O515" s="36">
        <v>3</v>
      </c>
      <c r="P515" s="24" t="str" cm="1">
        <f t="array" ref="P515">_xlfn.IFS(O515&lt;=6,"Detractors",AND(O515&gt;=7,O515&lt;=8),"Passives",AND(O515&gt;8,O515&lt;=10),"Promoters",O515="Not Available","NA")</f>
        <v>Detractors</v>
      </c>
    </row>
    <row r="516" spans="1:16" ht="14.25" customHeight="1" x14ac:dyDescent="0.3">
      <c r="A516" s="2" t="s">
        <v>542</v>
      </c>
      <c r="B516" s="2" t="s">
        <v>21</v>
      </c>
      <c r="C516" s="2" t="s">
        <v>16</v>
      </c>
      <c r="D516" s="3">
        <v>45941</v>
      </c>
      <c r="E516" s="3">
        <v>45946</v>
      </c>
      <c r="F516" s="3">
        <v>45948</v>
      </c>
      <c r="G516" s="3">
        <v>45952</v>
      </c>
      <c r="H516" s="23" t="str">
        <f t="shared" si="8"/>
        <v>Delivered</v>
      </c>
      <c r="I516" s="2" t="s">
        <v>17</v>
      </c>
      <c r="J516" s="24" t="s">
        <v>1054</v>
      </c>
      <c r="K516" s="3">
        <v>45971</v>
      </c>
      <c r="L516" s="2">
        <v>5</v>
      </c>
      <c r="M516" s="2">
        <v>2</v>
      </c>
      <c r="N516" s="2">
        <v>4</v>
      </c>
      <c r="O516" s="36">
        <v>5</v>
      </c>
      <c r="P516" s="24" t="str" cm="1">
        <f t="array" ref="P516">_xlfn.IFS(O516&lt;=6,"Detractors",AND(O516&gt;=7,O516&lt;=8),"Passives",AND(O516&gt;8,O516&lt;=10),"Promoters",O516="Not Available","NA")</f>
        <v>Detractors</v>
      </c>
    </row>
    <row r="517" spans="1:16" ht="14.25" customHeight="1" x14ac:dyDescent="0.3">
      <c r="A517" s="2" t="s">
        <v>543</v>
      </c>
      <c r="B517" s="2" t="s">
        <v>21</v>
      </c>
      <c r="C517" s="2" t="s">
        <v>30</v>
      </c>
      <c r="D517" s="3">
        <v>45958</v>
      </c>
      <c r="E517" s="3">
        <v>45962</v>
      </c>
      <c r="F517" s="3">
        <v>45963</v>
      </c>
      <c r="G517" s="3">
        <v>45970</v>
      </c>
      <c r="H517" s="23" t="str">
        <f t="shared" si="8"/>
        <v>Delivered</v>
      </c>
      <c r="I517" s="2" t="s">
        <v>23</v>
      </c>
      <c r="J517" s="2" t="s">
        <v>24</v>
      </c>
      <c r="L517" s="2">
        <v>4</v>
      </c>
      <c r="M517" s="2">
        <v>1</v>
      </c>
      <c r="N517" s="2">
        <v>7</v>
      </c>
      <c r="O517" t="s">
        <v>1080</v>
      </c>
      <c r="P517" s="24" t="str" cm="1">
        <f t="array" ref="P517">_xlfn.IFS(O517&lt;=6,"Detractors",AND(O517&gt;=7,O517&lt;=8),"Passives",AND(O517&gt;8,O517&lt;=10),"Promoters",O517="Not Available","NA")</f>
        <v>NA</v>
      </c>
    </row>
    <row r="518" spans="1:16" ht="14.25" customHeight="1" x14ac:dyDescent="0.3">
      <c r="A518" s="2" t="s">
        <v>544</v>
      </c>
      <c r="B518" s="2" t="s">
        <v>15</v>
      </c>
      <c r="C518" s="2" t="s">
        <v>16</v>
      </c>
      <c r="D518" s="3">
        <v>45934</v>
      </c>
      <c r="E518" s="3">
        <v>45935</v>
      </c>
      <c r="F518" s="3">
        <v>45939</v>
      </c>
      <c r="G518" s="3">
        <v>45946</v>
      </c>
      <c r="H518" s="23" t="str">
        <f t="shared" si="8"/>
        <v>Delivered</v>
      </c>
      <c r="I518" s="2" t="s">
        <v>17</v>
      </c>
      <c r="J518" s="24" t="s">
        <v>1054</v>
      </c>
      <c r="K518" s="3">
        <v>45956</v>
      </c>
      <c r="L518" s="2">
        <v>1</v>
      </c>
      <c r="M518" s="2">
        <v>4</v>
      </c>
      <c r="N518" s="2">
        <v>7</v>
      </c>
      <c r="O518" s="36">
        <v>2</v>
      </c>
      <c r="P518" s="24" t="str" cm="1">
        <f t="array" ref="P518">_xlfn.IFS(O518&lt;=6,"Detractors",AND(O518&gt;=7,O518&lt;=8),"Passives",AND(O518&gt;8,O518&lt;=10),"Promoters",O518="Not Available","NA")</f>
        <v>Detractors</v>
      </c>
    </row>
    <row r="519" spans="1:16" ht="14.25" customHeight="1" x14ac:dyDescent="0.3">
      <c r="A519" s="42" t="s">
        <v>545</v>
      </c>
      <c r="B519" s="2" t="s">
        <v>19</v>
      </c>
      <c r="C519" s="2" t="s">
        <v>30</v>
      </c>
      <c r="D519" s="3">
        <v>45958</v>
      </c>
      <c r="E519" s="3">
        <v>45959</v>
      </c>
      <c r="F519" s="3">
        <v>45961</v>
      </c>
      <c r="G519" s="3">
        <v>45967</v>
      </c>
      <c r="H519" s="23" t="str">
        <f t="shared" si="8"/>
        <v>Delivered</v>
      </c>
      <c r="I519" s="2" t="s">
        <v>17</v>
      </c>
      <c r="J519" s="24" t="s">
        <v>1054</v>
      </c>
      <c r="K519" s="3">
        <v>45989</v>
      </c>
      <c r="L519" s="2">
        <v>1</v>
      </c>
      <c r="M519" s="2">
        <v>2</v>
      </c>
      <c r="N519" s="2">
        <v>6</v>
      </c>
      <c r="O519" s="36">
        <v>1</v>
      </c>
      <c r="P519" s="24" t="str" cm="1">
        <f t="array" ref="P519">_xlfn.IFS(O519&lt;=6,"Detractors",AND(O519&gt;=7,O519&lt;=8),"Passives",AND(O519&gt;8,O519&lt;=10),"Promoters",O519="Not Available","NA")</f>
        <v>Detractors</v>
      </c>
    </row>
    <row r="520" spans="1:16" ht="14.25" customHeight="1" x14ac:dyDescent="0.3">
      <c r="A520" s="42" t="s">
        <v>546</v>
      </c>
      <c r="B520" s="2" t="s">
        <v>32</v>
      </c>
      <c r="C520" s="2" t="s">
        <v>30</v>
      </c>
      <c r="D520" s="3">
        <v>45958</v>
      </c>
      <c r="E520" s="3">
        <v>45962</v>
      </c>
      <c r="F520" s="3">
        <v>45967</v>
      </c>
      <c r="G520" s="3">
        <v>45972</v>
      </c>
      <c r="H520" s="23" t="str">
        <f t="shared" si="8"/>
        <v>Delivered</v>
      </c>
      <c r="I520" s="2" t="s">
        <v>17</v>
      </c>
      <c r="J520" s="24" t="s">
        <v>1054</v>
      </c>
      <c r="K520" s="3">
        <v>45983</v>
      </c>
      <c r="L520" s="2">
        <v>4</v>
      </c>
      <c r="M520" s="2">
        <v>5</v>
      </c>
      <c r="N520" s="2">
        <v>5</v>
      </c>
      <c r="O520" s="36">
        <v>10</v>
      </c>
      <c r="P520" s="24" t="str" cm="1">
        <f t="array" ref="P520">_xlfn.IFS(O520&lt;=6,"Detractors",AND(O520&gt;=7,O520&lt;=8),"Passives",AND(O520&gt;8,O520&lt;=10),"Promoters",O520="Not Available","NA")</f>
        <v>Promoters</v>
      </c>
    </row>
    <row r="521" spans="1:16" ht="14.25" customHeight="1" x14ac:dyDescent="0.3">
      <c r="A521" s="2" t="s">
        <v>547</v>
      </c>
      <c r="B521" s="2" t="s">
        <v>19</v>
      </c>
      <c r="C521" s="2" t="s">
        <v>16</v>
      </c>
      <c r="D521" s="3">
        <v>45945</v>
      </c>
      <c r="E521" s="3">
        <v>45950</v>
      </c>
      <c r="F521" s="3">
        <v>45952</v>
      </c>
      <c r="G521" s="3">
        <v>45957</v>
      </c>
      <c r="H521" s="23" t="str">
        <f t="shared" si="8"/>
        <v>Delivered</v>
      </c>
      <c r="I521" s="2" t="s">
        <v>17</v>
      </c>
      <c r="J521" s="24" t="s">
        <v>1054</v>
      </c>
      <c r="K521" s="3">
        <v>45972</v>
      </c>
      <c r="L521" s="2">
        <v>5</v>
      </c>
      <c r="M521" s="2">
        <v>2</v>
      </c>
      <c r="N521" s="2">
        <v>5</v>
      </c>
      <c r="O521" s="36">
        <v>6</v>
      </c>
      <c r="P521" s="24" t="str" cm="1">
        <f t="array" ref="P521">_xlfn.IFS(O521&lt;=6,"Detractors",AND(O521&gt;=7,O521&lt;=8),"Passives",AND(O521&gt;8,O521&lt;=10),"Promoters",O521="Not Available","NA")</f>
        <v>Detractors</v>
      </c>
    </row>
    <row r="522" spans="1:16" ht="14.25" customHeight="1" x14ac:dyDescent="0.3">
      <c r="A522" s="2" t="s">
        <v>548</v>
      </c>
      <c r="B522" s="2" t="s">
        <v>19</v>
      </c>
      <c r="C522" s="2" t="s">
        <v>16</v>
      </c>
      <c r="D522" s="3">
        <v>45934</v>
      </c>
      <c r="E522" s="3">
        <v>45939</v>
      </c>
      <c r="F522" s="3">
        <v>45943</v>
      </c>
      <c r="G522" s="3">
        <v>45950</v>
      </c>
      <c r="H522" s="23" t="str">
        <f t="shared" si="8"/>
        <v>Delivered</v>
      </c>
      <c r="I522" s="2" t="s">
        <v>17</v>
      </c>
      <c r="J522" s="24" t="s">
        <v>1054</v>
      </c>
      <c r="K522" s="3">
        <v>45978</v>
      </c>
      <c r="L522" s="2">
        <v>5</v>
      </c>
      <c r="M522" s="2">
        <v>4</v>
      </c>
      <c r="N522" s="2">
        <v>7</v>
      </c>
      <c r="O522" s="36">
        <v>7</v>
      </c>
      <c r="P522" s="24" t="str" cm="1">
        <f t="array" ref="P522">_xlfn.IFS(O522&lt;=6,"Detractors",AND(O522&gt;=7,O522&lt;=8),"Passives",AND(O522&gt;8,O522&lt;=10),"Promoters",O522="Not Available","NA")</f>
        <v>Passives</v>
      </c>
    </row>
    <row r="523" spans="1:16" ht="14.25" customHeight="1" x14ac:dyDescent="0.3">
      <c r="A523" s="2" t="s">
        <v>549</v>
      </c>
      <c r="B523" s="2" t="s">
        <v>19</v>
      </c>
      <c r="C523" s="2" t="s">
        <v>16</v>
      </c>
      <c r="D523" s="3">
        <v>45947</v>
      </c>
      <c r="E523" s="3">
        <v>45948</v>
      </c>
      <c r="F523" s="3">
        <v>45950</v>
      </c>
      <c r="G523" s="3">
        <v>45955</v>
      </c>
      <c r="H523" s="23" t="str">
        <f t="shared" si="8"/>
        <v>Delivered</v>
      </c>
      <c r="I523" s="2" t="s">
        <v>17</v>
      </c>
      <c r="J523" s="24" t="s">
        <v>1054</v>
      </c>
      <c r="K523" s="3">
        <v>45971</v>
      </c>
      <c r="L523" s="2">
        <v>1</v>
      </c>
      <c r="M523" s="2">
        <v>2</v>
      </c>
      <c r="N523" s="2">
        <v>5</v>
      </c>
      <c r="O523" s="36">
        <v>4</v>
      </c>
      <c r="P523" s="24" t="str" cm="1">
        <f t="array" ref="P523">_xlfn.IFS(O523&lt;=6,"Detractors",AND(O523&gt;=7,O523&lt;=8),"Passives",AND(O523&gt;8,O523&lt;=10),"Promoters",O523="Not Available","NA")</f>
        <v>Detractors</v>
      </c>
    </row>
    <row r="524" spans="1:16" ht="14.25" customHeight="1" x14ac:dyDescent="0.3">
      <c r="A524" s="2" t="s">
        <v>550</v>
      </c>
      <c r="B524" s="2" t="s">
        <v>15</v>
      </c>
      <c r="C524" s="2" t="s">
        <v>22</v>
      </c>
      <c r="D524" s="3">
        <v>45960</v>
      </c>
      <c r="H524" s="23" t="str">
        <f t="shared" si="8"/>
        <v>Not Delivered</v>
      </c>
      <c r="I524" s="2" t="s">
        <v>23</v>
      </c>
      <c r="J524" s="2" t="s">
        <v>101</v>
      </c>
      <c r="L524">
        <v>0</v>
      </c>
      <c r="M524">
        <v>0</v>
      </c>
      <c r="N524">
        <v>0</v>
      </c>
      <c r="O524" t="s">
        <v>1080</v>
      </c>
      <c r="P524" s="24" t="str" cm="1">
        <f t="array" ref="P524">_xlfn.IFS(O524&lt;=6,"Detractors",AND(O524&gt;=7,O524&lt;=8),"Passives",AND(O524&gt;8,O524&lt;=10),"Promoters",O524="Not Available","NA")</f>
        <v>NA</v>
      </c>
    </row>
    <row r="525" spans="1:16" ht="14.25" customHeight="1" x14ac:dyDescent="0.3">
      <c r="A525" s="2" t="s">
        <v>551</v>
      </c>
      <c r="B525" s="2" t="s">
        <v>21</v>
      </c>
      <c r="C525" s="2" t="s">
        <v>16</v>
      </c>
      <c r="D525" s="3">
        <v>45945</v>
      </c>
      <c r="E525" s="3">
        <v>45950</v>
      </c>
      <c r="F525" s="3">
        <v>45955</v>
      </c>
      <c r="G525" s="3">
        <v>45957</v>
      </c>
      <c r="H525" s="23" t="str">
        <f t="shared" si="8"/>
        <v>Delivered</v>
      </c>
      <c r="I525" s="2" t="s">
        <v>17</v>
      </c>
      <c r="J525" s="24" t="s">
        <v>1054</v>
      </c>
      <c r="K525" s="3">
        <v>45974</v>
      </c>
      <c r="L525" s="2">
        <v>5</v>
      </c>
      <c r="M525" s="2">
        <v>5</v>
      </c>
      <c r="N525" s="2">
        <v>2</v>
      </c>
      <c r="O525" s="36">
        <v>4</v>
      </c>
      <c r="P525" s="24" t="str" cm="1">
        <f t="array" ref="P525">_xlfn.IFS(O525&lt;=6,"Detractors",AND(O525&gt;=7,O525&lt;=8),"Passives",AND(O525&gt;8,O525&lt;=10),"Promoters",O525="Not Available","NA")</f>
        <v>Detractors</v>
      </c>
    </row>
    <row r="526" spans="1:16" ht="14.25" customHeight="1" x14ac:dyDescent="0.3">
      <c r="A526" s="2" t="s">
        <v>552</v>
      </c>
      <c r="B526" s="2" t="s">
        <v>19</v>
      </c>
      <c r="C526" s="2" t="s">
        <v>16</v>
      </c>
      <c r="D526" s="3">
        <v>45931</v>
      </c>
      <c r="E526" s="3">
        <v>45936</v>
      </c>
      <c r="F526" s="3">
        <v>45939</v>
      </c>
      <c r="G526" s="3">
        <v>45946</v>
      </c>
      <c r="H526" s="23" t="str">
        <f t="shared" si="8"/>
        <v>Delivered</v>
      </c>
      <c r="I526" s="2" t="s">
        <v>17</v>
      </c>
      <c r="J526" s="24" t="s">
        <v>1054</v>
      </c>
      <c r="K526" s="3">
        <v>45976</v>
      </c>
      <c r="L526" s="2">
        <v>5</v>
      </c>
      <c r="M526" s="2">
        <v>3</v>
      </c>
      <c r="N526" s="2">
        <v>7</v>
      </c>
      <c r="O526" s="36">
        <v>8</v>
      </c>
      <c r="P526" s="24" t="str" cm="1">
        <f t="array" ref="P526">_xlfn.IFS(O526&lt;=6,"Detractors",AND(O526&gt;=7,O526&lt;=8),"Passives",AND(O526&gt;8,O526&lt;=10),"Promoters",O526="Not Available","NA")</f>
        <v>Passives</v>
      </c>
    </row>
    <row r="527" spans="1:16" ht="14.25" customHeight="1" x14ac:dyDescent="0.3">
      <c r="A527" s="42" t="s">
        <v>553</v>
      </c>
      <c r="B527" s="2" t="s">
        <v>15</v>
      </c>
      <c r="C527" s="2" t="s">
        <v>30</v>
      </c>
      <c r="D527" s="3">
        <v>45954</v>
      </c>
      <c r="E527" s="3">
        <v>45956</v>
      </c>
      <c r="F527" s="3">
        <v>45959</v>
      </c>
      <c r="G527" s="3">
        <v>45965</v>
      </c>
      <c r="H527" s="23" t="str">
        <f t="shared" si="8"/>
        <v>Delivered</v>
      </c>
      <c r="I527" s="2" t="s">
        <v>17</v>
      </c>
      <c r="J527" s="24" t="s">
        <v>1054</v>
      </c>
      <c r="K527" s="3">
        <v>45982</v>
      </c>
      <c r="L527" s="2">
        <v>2</v>
      </c>
      <c r="M527" s="2">
        <v>3</v>
      </c>
      <c r="N527" s="2">
        <v>6</v>
      </c>
      <c r="O527" s="36">
        <v>8</v>
      </c>
      <c r="P527" s="24" t="str" cm="1">
        <f t="array" ref="P527">_xlfn.IFS(O527&lt;=6,"Detractors",AND(O527&gt;=7,O527&lt;=8),"Passives",AND(O527&gt;8,O527&lt;=10),"Promoters",O527="Not Available","NA")</f>
        <v>Passives</v>
      </c>
    </row>
    <row r="528" spans="1:16" ht="14.25" customHeight="1" x14ac:dyDescent="0.3">
      <c r="A528" s="2" t="s">
        <v>554</v>
      </c>
      <c r="B528" s="2" t="s">
        <v>19</v>
      </c>
      <c r="C528" s="2" t="s">
        <v>16</v>
      </c>
      <c r="D528" s="3">
        <v>45935</v>
      </c>
      <c r="E528" s="3">
        <v>45937</v>
      </c>
      <c r="F528" s="3">
        <v>45941</v>
      </c>
      <c r="G528" s="3">
        <v>45947</v>
      </c>
      <c r="H528" s="23" t="str">
        <f t="shared" si="8"/>
        <v>Delivered</v>
      </c>
      <c r="I528" s="2" t="s">
        <v>17</v>
      </c>
      <c r="J528" s="24" t="s">
        <v>1054</v>
      </c>
      <c r="K528" s="3">
        <v>45963</v>
      </c>
      <c r="L528" s="2">
        <v>2</v>
      </c>
      <c r="M528" s="2">
        <v>4</v>
      </c>
      <c r="N528" s="2">
        <v>6</v>
      </c>
      <c r="O528" s="36">
        <v>6</v>
      </c>
      <c r="P528" s="24" t="str" cm="1">
        <f t="array" ref="P528">_xlfn.IFS(O528&lt;=6,"Detractors",AND(O528&gt;=7,O528&lt;=8),"Passives",AND(O528&gt;8,O528&lt;=10),"Promoters",O528="Not Available","NA")</f>
        <v>Detractors</v>
      </c>
    </row>
    <row r="529" spans="1:16" ht="14.25" customHeight="1" x14ac:dyDescent="0.3">
      <c r="A529" s="2" t="s">
        <v>555</v>
      </c>
      <c r="B529" s="2" t="s">
        <v>19</v>
      </c>
      <c r="C529" s="2" t="s">
        <v>16</v>
      </c>
      <c r="D529" s="3">
        <v>45944</v>
      </c>
      <c r="E529" s="3">
        <v>45947</v>
      </c>
      <c r="F529" s="3">
        <v>45951</v>
      </c>
      <c r="G529" s="3">
        <v>45957</v>
      </c>
      <c r="H529" s="23" t="str">
        <f t="shared" si="8"/>
        <v>Delivered</v>
      </c>
      <c r="I529" s="2" t="s">
        <v>17</v>
      </c>
      <c r="J529" s="24" t="s">
        <v>1054</v>
      </c>
      <c r="K529" s="3">
        <v>45975</v>
      </c>
      <c r="L529" s="2">
        <v>3</v>
      </c>
      <c r="M529" s="2">
        <v>4</v>
      </c>
      <c r="N529" s="2">
        <v>6</v>
      </c>
      <c r="O529" s="36">
        <v>4</v>
      </c>
      <c r="P529" s="24" t="str" cm="1">
        <f t="array" ref="P529">_xlfn.IFS(O529&lt;=6,"Detractors",AND(O529&gt;=7,O529&lt;=8),"Passives",AND(O529&gt;8,O529&lt;=10),"Promoters",O529="Not Available","NA")</f>
        <v>Detractors</v>
      </c>
    </row>
    <row r="530" spans="1:16" ht="14.25" customHeight="1" x14ac:dyDescent="0.3">
      <c r="A530" s="2" t="s">
        <v>556</v>
      </c>
      <c r="B530" s="2" t="s">
        <v>15</v>
      </c>
      <c r="C530" s="2" t="s">
        <v>22</v>
      </c>
      <c r="D530" s="3">
        <v>45958</v>
      </c>
      <c r="H530" s="23" t="str">
        <f t="shared" si="8"/>
        <v>Not Delivered</v>
      </c>
      <c r="I530" s="2" t="s">
        <v>23</v>
      </c>
      <c r="J530" s="2" t="s">
        <v>63</v>
      </c>
      <c r="L530">
        <v>0</v>
      </c>
      <c r="M530">
        <v>0</v>
      </c>
      <c r="N530">
        <v>0</v>
      </c>
      <c r="O530" t="s">
        <v>1080</v>
      </c>
      <c r="P530" s="24" t="str" cm="1">
        <f t="array" ref="P530">_xlfn.IFS(O530&lt;=6,"Detractors",AND(O530&gt;=7,O530&lt;=8),"Passives",AND(O530&gt;8,O530&lt;=10),"Promoters",O530="Not Available","NA")</f>
        <v>NA</v>
      </c>
    </row>
    <row r="531" spans="1:16" ht="14.25" customHeight="1" x14ac:dyDescent="0.3">
      <c r="A531" s="2" t="s">
        <v>557</v>
      </c>
      <c r="B531" s="2" t="s">
        <v>21</v>
      </c>
      <c r="C531" s="2" t="s">
        <v>22</v>
      </c>
      <c r="D531" s="3">
        <v>45951</v>
      </c>
      <c r="H531" s="23" t="str">
        <f t="shared" si="8"/>
        <v>Not Delivered</v>
      </c>
      <c r="I531" s="2" t="s">
        <v>23</v>
      </c>
      <c r="J531" s="2" t="s">
        <v>26</v>
      </c>
      <c r="L531">
        <v>0</v>
      </c>
      <c r="M531">
        <v>0</v>
      </c>
      <c r="N531">
        <v>0</v>
      </c>
      <c r="O531" t="s">
        <v>1080</v>
      </c>
      <c r="P531" s="24" t="str" cm="1">
        <f t="array" ref="P531">_xlfn.IFS(O531&lt;=6,"Detractors",AND(O531&gt;=7,O531&lt;=8),"Passives",AND(O531&gt;8,O531&lt;=10),"Promoters",O531="Not Available","NA")</f>
        <v>NA</v>
      </c>
    </row>
    <row r="532" spans="1:16" ht="14.25" customHeight="1" x14ac:dyDescent="0.3">
      <c r="A532" s="2" t="s">
        <v>558</v>
      </c>
      <c r="B532" s="2" t="s">
        <v>21</v>
      </c>
      <c r="C532" s="2" t="s">
        <v>16</v>
      </c>
      <c r="D532" s="3">
        <v>45935</v>
      </c>
      <c r="E532" s="3">
        <v>45939</v>
      </c>
      <c r="F532" s="3">
        <v>45944</v>
      </c>
      <c r="G532" s="3">
        <v>45947</v>
      </c>
      <c r="H532" s="23" t="str">
        <f t="shared" si="8"/>
        <v>Delivered</v>
      </c>
      <c r="I532" s="2" t="s">
        <v>17</v>
      </c>
      <c r="J532" s="24" t="s">
        <v>1054</v>
      </c>
      <c r="K532" s="3">
        <v>45977</v>
      </c>
      <c r="L532" s="2">
        <v>4</v>
      </c>
      <c r="M532" s="2">
        <v>5</v>
      </c>
      <c r="N532" s="2">
        <v>3</v>
      </c>
      <c r="O532" s="36">
        <v>2</v>
      </c>
      <c r="P532" s="24" t="str" cm="1">
        <f t="array" ref="P532">_xlfn.IFS(O532&lt;=6,"Detractors",AND(O532&gt;=7,O532&lt;=8),"Passives",AND(O532&gt;8,O532&lt;=10),"Promoters",O532="Not Available","NA")</f>
        <v>Detractors</v>
      </c>
    </row>
    <row r="533" spans="1:16" ht="14.25" customHeight="1" x14ac:dyDescent="0.3">
      <c r="A533" s="42" t="s">
        <v>559</v>
      </c>
      <c r="B533" s="2" t="s">
        <v>32</v>
      </c>
      <c r="C533" s="2" t="s">
        <v>30</v>
      </c>
      <c r="D533" s="3">
        <v>45933</v>
      </c>
      <c r="E533" s="3">
        <v>45934</v>
      </c>
      <c r="F533" s="3">
        <v>45937</v>
      </c>
      <c r="G533" s="3">
        <v>45941</v>
      </c>
      <c r="H533" s="23" t="str">
        <f t="shared" si="8"/>
        <v>Delivered</v>
      </c>
      <c r="I533" s="2" t="s">
        <v>17</v>
      </c>
      <c r="J533" s="24" t="s">
        <v>1054</v>
      </c>
      <c r="K533" s="3">
        <v>45964</v>
      </c>
      <c r="L533" s="2">
        <v>1</v>
      </c>
      <c r="M533" s="2">
        <v>3</v>
      </c>
      <c r="N533" s="2">
        <v>4</v>
      </c>
      <c r="O533" s="36">
        <v>2</v>
      </c>
      <c r="P533" s="24" t="str" cm="1">
        <f t="array" ref="P533">_xlfn.IFS(O533&lt;=6,"Detractors",AND(O533&gt;=7,O533&lt;=8),"Passives",AND(O533&gt;8,O533&lt;=10),"Promoters",O533="Not Available","NA")</f>
        <v>Detractors</v>
      </c>
    </row>
    <row r="534" spans="1:16" ht="14.25" customHeight="1" x14ac:dyDescent="0.3">
      <c r="A534" s="2" t="s">
        <v>560</v>
      </c>
      <c r="B534" s="2" t="s">
        <v>15</v>
      </c>
      <c r="C534" s="2" t="s">
        <v>22</v>
      </c>
      <c r="D534" s="3">
        <v>45946</v>
      </c>
      <c r="H534" s="23" t="str">
        <f t="shared" si="8"/>
        <v>Not Delivered</v>
      </c>
      <c r="I534" s="2" t="s">
        <v>23</v>
      </c>
      <c r="J534" s="2" t="s">
        <v>26</v>
      </c>
      <c r="L534">
        <v>0</v>
      </c>
      <c r="M534">
        <v>0</v>
      </c>
      <c r="N534">
        <v>0</v>
      </c>
      <c r="O534" t="s">
        <v>1080</v>
      </c>
      <c r="P534" s="24" t="str" cm="1">
        <f t="array" ref="P534">_xlfn.IFS(O534&lt;=6,"Detractors",AND(O534&gt;=7,O534&lt;=8),"Passives",AND(O534&gt;8,O534&lt;=10),"Promoters",O534="Not Available","NA")</f>
        <v>NA</v>
      </c>
    </row>
    <row r="535" spans="1:16" ht="14.25" customHeight="1" x14ac:dyDescent="0.3">
      <c r="A535" s="2" t="s">
        <v>561</v>
      </c>
      <c r="B535" s="2" t="s">
        <v>32</v>
      </c>
      <c r="C535" s="2" t="s">
        <v>16</v>
      </c>
      <c r="D535" s="3">
        <v>45956</v>
      </c>
      <c r="E535" s="3">
        <v>45961</v>
      </c>
      <c r="F535" s="3">
        <v>45964</v>
      </c>
      <c r="G535" s="3">
        <v>45966</v>
      </c>
      <c r="H535" s="23" t="str">
        <f t="shared" si="8"/>
        <v>Delivered</v>
      </c>
      <c r="I535" s="2" t="s">
        <v>17</v>
      </c>
      <c r="J535" s="24" t="s">
        <v>1054</v>
      </c>
      <c r="K535" s="3">
        <v>45992</v>
      </c>
      <c r="L535" s="2">
        <v>5</v>
      </c>
      <c r="M535" s="2">
        <v>3</v>
      </c>
      <c r="N535" s="2">
        <v>2</v>
      </c>
      <c r="O535" s="36">
        <v>1</v>
      </c>
      <c r="P535" s="24" t="str" cm="1">
        <f t="array" ref="P535">_xlfn.IFS(O535&lt;=6,"Detractors",AND(O535&gt;=7,O535&lt;=8),"Passives",AND(O535&gt;8,O535&lt;=10),"Promoters",O535="Not Available","NA")</f>
        <v>Detractors</v>
      </c>
    </row>
    <row r="536" spans="1:16" ht="14.25" customHeight="1" x14ac:dyDescent="0.3">
      <c r="A536" s="42" t="s">
        <v>562</v>
      </c>
      <c r="B536" s="2" t="s">
        <v>32</v>
      </c>
      <c r="C536" s="2" t="s">
        <v>30</v>
      </c>
      <c r="D536" s="3">
        <v>45939</v>
      </c>
      <c r="E536" s="3">
        <v>45942</v>
      </c>
      <c r="F536" s="3">
        <v>45945</v>
      </c>
      <c r="G536" s="3">
        <v>45949</v>
      </c>
      <c r="H536" s="23" t="str">
        <f t="shared" si="8"/>
        <v>Delivered</v>
      </c>
      <c r="I536" s="2" t="s">
        <v>17</v>
      </c>
      <c r="J536" s="24" t="s">
        <v>1054</v>
      </c>
      <c r="K536" s="3">
        <v>45959</v>
      </c>
      <c r="L536" s="2">
        <v>3</v>
      </c>
      <c r="M536" s="2">
        <v>3</v>
      </c>
      <c r="N536" s="2">
        <v>4</v>
      </c>
      <c r="O536" s="36">
        <v>0</v>
      </c>
      <c r="P536" s="24" t="str" cm="1">
        <f t="array" ref="P536">_xlfn.IFS(O536&lt;=6,"Detractors",AND(O536&gt;=7,O536&lt;=8),"Passives",AND(O536&gt;8,O536&lt;=10),"Promoters",O536="Not Available","NA")</f>
        <v>Detractors</v>
      </c>
    </row>
    <row r="537" spans="1:16" ht="14.25" customHeight="1" x14ac:dyDescent="0.3">
      <c r="A537" s="2" t="s">
        <v>563</v>
      </c>
      <c r="B537" s="2" t="s">
        <v>32</v>
      </c>
      <c r="C537" s="2" t="s">
        <v>30</v>
      </c>
      <c r="D537" s="3">
        <v>45941</v>
      </c>
      <c r="E537" s="3">
        <v>45943</v>
      </c>
      <c r="F537" s="3">
        <v>45946</v>
      </c>
      <c r="G537" s="3">
        <v>45948</v>
      </c>
      <c r="H537" s="23" t="str">
        <f t="shared" si="8"/>
        <v>Delivered</v>
      </c>
      <c r="I537" s="2" t="s">
        <v>23</v>
      </c>
      <c r="J537" s="2" t="s">
        <v>63</v>
      </c>
      <c r="L537" s="2">
        <v>2</v>
      </c>
      <c r="M537" s="2">
        <v>3</v>
      </c>
      <c r="N537" s="2">
        <v>2</v>
      </c>
      <c r="O537" t="s">
        <v>1080</v>
      </c>
      <c r="P537" s="24" t="str" cm="1">
        <f t="array" ref="P537">_xlfn.IFS(O537&lt;=6,"Detractors",AND(O537&gt;=7,O537&lt;=8),"Passives",AND(O537&gt;8,O537&lt;=10),"Promoters",O537="Not Available","NA")</f>
        <v>NA</v>
      </c>
    </row>
    <row r="538" spans="1:16" ht="14.25" customHeight="1" x14ac:dyDescent="0.3">
      <c r="A538" s="2" t="s">
        <v>564</v>
      </c>
      <c r="B538" s="2" t="s">
        <v>21</v>
      </c>
      <c r="C538" s="2" t="s">
        <v>16</v>
      </c>
      <c r="D538" s="3">
        <v>45950</v>
      </c>
      <c r="E538" s="3">
        <v>45955</v>
      </c>
      <c r="F538" s="3">
        <v>45960</v>
      </c>
      <c r="G538" s="3">
        <v>45966</v>
      </c>
      <c r="H538" s="23" t="str">
        <f t="shared" si="8"/>
        <v>Delivered</v>
      </c>
      <c r="I538" s="2" t="s">
        <v>17</v>
      </c>
      <c r="J538" s="24" t="s">
        <v>1054</v>
      </c>
      <c r="K538" s="3">
        <v>45976</v>
      </c>
      <c r="L538" s="2">
        <v>5</v>
      </c>
      <c r="M538" s="2">
        <v>5</v>
      </c>
      <c r="N538" s="2">
        <v>6</v>
      </c>
      <c r="O538" s="36">
        <v>0</v>
      </c>
      <c r="P538" s="24" t="str" cm="1">
        <f t="array" ref="P538">_xlfn.IFS(O538&lt;=6,"Detractors",AND(O538&gt;=7,O538&lt;=8),"Passives",AND(O538&gt;8,O538&lt;=10),"Promoters",O538="Not Available","NA")</f>
        <v>Detractors</v>
      </c>
    </row>
    <row r="539" spans="1:16" ht="14.25" customHeight="1" x14ac:dyDescent="0.3">
      <c r="A539" s="42" t="s">
        <v>565</v>
      </c>
      <c r="B539" s="2" t="s">
        <v>15</v>
      </c>
      <c r="C539" s="2" t="s">
        <v>30</v>
      </c>
      <c r="D539" s="3">
        <v>45953</v>
      </c>
      <c r="E539" s="3">
        <v>45957</v>
      </c>
      <c r="F539" s="3">
        <v>45961</v>
      </c>
      <c r="G539" s="3">
        <v>45964</v>
      </c>
      <c r="H539" s="23" t="str">
        <f t="shared" si="8"/>
        <v>Delivered</v>
      </c>
      <c r="I539" s="2" t="s">
        <v>17</v>
      </c>
      <c r="J539" s="24" t="s">
        <v>1054</v>
      </c>
      <c r="K539" s="3">
        <v>45989</v>
      </c>
      <c r="L539" s="2">
        <v>4</v>
      </c>
      <c r="M539" s="2">
        <v>4</v>
      </c>
      <c r="N539" s="2">
        <v>3</v>
      </c>
      <c r="O539" s="36">
        <v>3</v>
      </c>
      <c r="P539" s="24" t="str" cm="1">
        <f t="array" ref="P539">_xlfn.IFS(O539&lt;=6,"Detractors",AND(O539&gt;=7,O539&lt;=8),"Passives",AND(O539&gt;8,O539&lt;=10),"Promoters",O539="Not Available","NA")</f>
        <v>Detractors</v>
      </c>
    </row>
    <row r="540" spans="1:16" ht="14.25" customHeight="1" x14ac:dyDescent="0.3">
      <c r="A540" s="2" t="s">
        <v>566</v>
      </c>
      <c r="B540" s="2" t="s">
        <v>32</v>
      </c>
      <c r="C540" s="2" t="s">
        <v>22</v>
      </c>
      <c r="D540" s="3">
        <v>45943</v>
      </c>
      <c r="H540" s="23" t="str">
        <f t="shared" si="8"/>
        <v>Not Delivered</v>
      </c>
      <c r="I540" s="2" t="s">
        <v>23</v>
      </c>
      <c r="J540" s="2" t="s">
        <v>26</v>
      </c>
      <c r="L540">
        <v>0</v>
      </c>
      <c r="M540">
        <v>0</v>
      </c>
      <c r="N540">
        <v>0</v>
      </c>
      <c r="O540" t="s">
        <v>1080</v>
      </c>
      <c r="P540" s="24" t="str" cm="1">
        <f t="array" ref="P540">_xlfn.IFS(O540&lt;=6,"Detractors",AND(O540&gt;=7,O540&lt;=8),"Passives",AND(O540&gt;8,O540&lt;=10),"Promoters",O540="Not Available","NA")</f>
        <v>NA</v>
      </c>
    </row>
    <row r="541" spans="1:16" ht="14.25" customHeight="1" x14ac:dyDescent="0.3">
      <c r="A541" s="2" t="s">
        <v>567</v>
      </c>
      <c r="B541" s="2" t="s">
        <v>15</v>
      </c>
      <c r="C541" s="2" t="s">
        <v>16</v>
      </c>
      <c r="D541" s="3">
        <v>45951</v>
      </c>
      <c r="E541" s="3">
        <v>45953</v>
      </c>
      <c r="F541" s="3">
        <v>45957</v>
      </c>
      <c r="G541" s="3">
        <v>45960</v>
      </c>
      <c r="H541" s="23" t="str">
        <f t="shared" si="8"/>
        <v>Delivered</v>
      </c>
      <c r="I541" s="2" t="s">
        <v>23</v>
      </c>
      <c r="J541" s="2" t="s">
        <v>101</v>
      </c>
      <c r="L541" s="2">
        <v>2</v>
      </c>
      <c r="M541" s="2">
        <v>4</v>
      </c>
      <c r="N541" s="2">
        <v>3</v>
      </c>
      <c r="O541" t="s">
        <v>1080</v>
      </c>
      <c r="P541" s="24" t="str" cm="1">
        <f t="array" ref="P541">_xlfn.IFS(O541&lt;=6,"Detractors",AND(O541&gt;=7,O541&lt;=8),"Passives",AND(O541&gt;8,O541&lt;=10),"Promoters",O541="Not Available","NA")</f>
        <v>NA</v>
      </c>
    </row>
    <row r="542" spans="1:16" ht="14.25" customHeight="1" x14ac:dyDescent="0.3">
      <c r="A542" s="42" t="s">
        <v>568</v>
      </c>
      <c r="B542" s="2" t="s">
        <v>15</v>
      </c>
      <c r="C542" s="2" t="s">
        <v>30</v>
      </c>
      <c r="D542" s="3">
        <v>45933</v>
      </c>
      <c r="E542" s="3">
        <v>45934</v>
      </c>
      <c r="F542" s="3">
        <v>45935</v>
      </c>
      <c r="G542" s="3">
        <v>45941</v>
      </c>
      <c r="H542" s="23" t="str">
        <f t="shared" si="8"/>
        <v>Delivered</v>
      </c>
      <c r="I542" s="2" t="s">
        <v>17</v>
      </c>
      <c r="J542" s="24" t="s">
        <v>1054</v>
      </c>
      <c r="K542" s="3">
        <v>45955</v>
      </c>
      <c r="L542" s="2">
        <v>1</v>
      </c>
      <c r="M542" s="2">
        <v>1</v>
      </c>
      <c r="N542" s="2">
        <v>6</v>
      </c>
      <c r="O542" s="36">
        <v>9</v>
      </c>
      <c r="P542" s="24" t="str" cm="1">
        <f t="array" ref="P542">_xlfn.IFS(O542&lt;=6,"Detractors",AND(O542&gt;=7,O542&lt;=8),"Passives",AND(O542&gt;8,O542&lt;=10),"Promoters",O542="Not Available","NA")</f>
        <v>Promoters</v>
      </c>
    </row>
    <row r="543" spans="1:16" ht="14.25" customHeight="1" x14ac:dyDescent="0.3">
      <c r="A543" s="2" t="s">
        <v>569</v>
      </c>
      <c r="B543" s="2" t="s">
        <v>21</v>
      </c>
      <c r="C543" s="2" t="s">
        <v>22</v>
      </c>
      <c r="D543" s="3">
        <v>45958</v>
      </c>
      <c r="H543" s="23" t="str">
        <f t="shared" si="8"/>
        <v>Not Delivered</v>
      </c>
      <c r="I543" s="2" t="s">
        <v>23</v>
      </c>
      <c r="J543" s="2" t="s">
        <v>101</v>
      </c>
      <c r="L543">
        <v>0</v>
      </c>
      <c r="M543">
        <v>0</v>
      </c>
      <c r="N543">
        <v>0</v>
      </c>
      <c r="O543" t="s">
        <v>1080</v>
      </c>
      <c r="P543" s="24" t="str" cm="1">
        <f t="array" ref="P543">_xlfn.IFS(O543&lt;=6,"Detractors",AND(O543&gt;=7,O543&lt;=8),"Passives",AND(O543&gt;8,O543&lt;=10),"Promoters",O543="Not Available","NA")</f>
        <v>NA</v>
      </c>
    </row>
    <row r="544" spans="1:16" ht="14.25" customHeight="1" x14ac:dyDescent="0.3">
      <c r="A544" s="2" t="s">
        <v>570</v>
      </c>
      <c r="B544" s="2" t="s">
        <v>32</v>
      </c>
      <c r="C544" s="2" t="s">
        <v>16</v>
      </c>
      <c r="D544" s="3">
        <v>45941</v>
      </c>
      <c r="E544" s="3">
        <v>45946</v>
      </c>
      <c r="F544" s="3">
        <v>45950</v>
      </c>
      <c r="G544" s="3">
        <v>45954</v>
      </c>
      <c r="H544" s="23" t="str">
        <f t="shared" si="8"/>
        <v>Delivered</v>
      </c>
      <c r="I544" s="2" t="s">
        <v>17</v>
      </c>
      <c r="J544" s="24" t="s">
        <v>1054</v>
      </c>
      <c r="K544" s="3">
        <v>45984</v>
      </c>
      <c r="L544" s="2">
        <v>5</v>
      </c>
      <c r="M544" s="2">
        <v>4</v>
      </c>
      <c r="N544" s="2">
        <v>4</v>
      </c>
      <c r="O544" s="36">
        <v>9</v>
      </c>
      <c r="P544" s="24" t="str" cm="1">
        <f t="array" ref="P544">_xlfn.IFS(O544&lt;=6,"Detractors",AND(O544&gt;=7,O544&lt;=8),"Passives",AND(O544&gt;8,O544&lt;=10),"Promoters",O544="Not Available","NA")</f>
        <v>Promoters</v>
      </c>
    </row>
    <row r="545" spans="1:16" ht="14.25" customHeight="1" x14ac:dyDescent="0.3">
      <c r="A545" s="2" t="s">
        <v>571</v>
      </c>
      <c r="B545" s="2" t="s">
        <v>32</v>
      </c>
      <c r="C545" s="2" t="s">
        <v>16</v>
      </c>
      <c r="D545" s="3">
        <v>45958</v>
      </c>
      <c r="E545" s="3">
        <v>45961</v>
      </c>
      <c r="F545" s="3">
        <v>45964</v>
      </c>
      <c r="G545" s="3">
        <v>45969</v>
      </c>
      <c r="H545" s="23" t="str">
        <f t="shared" si="8"/>
        <v>Delivered</v>
      </c>
      <c r="I545" s="2" t="s">
        <v>17</v>
      </c>
      <c r="J545" s="24" t="s">
        <v>1054</v>
      </c>
      <c r="K545" s="3">
        <v>45984</v>
      </c>
      <c r="L545" s="2">
        <v>3</v>
      </c>
      <c r="M545" s="2">
        <v>3</v>
      </c>
      <c r="N545" s="2">
        <v>5</v>
      </c>
      <c r="O545" s="36">
        <v>4</v>
      </c>
      <c r="P545" s="24" t="str" cm="1">
        <f t="array" ref="P545">_xlfn.IFS(O545&lt;=6,"Detractors",AND(O545&gt;=7,O545&lt;=8),"Passives",AND(O545&gt;8,O545&lt;=10),"Promoters",O545="Not Available","NA")</f>
        <v>Detractors</v>
      </c>
    </row>
    <row r="546" spans="1:16" ht="14.25" customHeight="1" x14ac:dyDescent="0.3">
      <c r="A546" s="42" t="s">
        <v>572</v>
      </c>
      <c r="B546" s="2" t="s">
        <v>15</v>
      </c>
      <c r="C546" s="2" t="s">
        <v>30</v>
      </c>
      <c r="D546" s="3">
        <v>45952</v>
      </c>
      <c r="E546" s="3">
        <v>45953</v>
      </c>
      <c r="F546" s="3">
        <v>45955</v>
      </c>
      <c r="G546" s="3">
        <v>45961</v>
      </c>
      <c r="H546" s="23" t="str">
        <f t="shared" si="8"/>
        <v>Delivered</v>
      </c>
      <c r="I546" s="2" t="s">
        <v>17</v>
      </c>
      <c r="J546" s="24" t="s">
        <v>1054</v>
      </c>
      <c r="K546" s="3">
        <v>45990</v>
      </c>
      <c r="L546" s="2">
        <v>1</v>
      </c>
      <c r="M546" s="2">
        <v>2</v>
      </c>
      <c r="N546" s="2">
        <v>6</v>
      </c>
      <c r="O546" s="36">
        <v>1</v>
      </c>
      <c r="P546" s="24" t="str" cm="1">
        <f t="array" ref="P546">_xlfn.IFS(O546&lt;=6,"Detractors",AND(O546&gt;=7,O546&lt;=8),"Passives",AND(O546&gt;8,O546&lt;=10),"Promoters",O546="Not Available","NA")</f>
        <v>Detractors</v>
      </c>
    </row>
    <row r="547" spans="1:16" ht="14.25" customHeight="1" x14ac:dyDescent="0.3">
      <c r="A547" s="42" t="s">
        <v>573</v>
      </c>
      <c r="B547" s="2" t="s">
        <v>19</v>
      </c>
      <c r="C547" s="2" t="s">
        <v>30</v>
      </c>
      <c r="D547" s="3">
        <v>45958</v>
      </c>
      <c r="E547" s="3">
        <v>45963</v>
      </c>
      <c r="F547" s="3">
        <v>45966</v>
      </c>
      <c r="G547" s="3">
        <v>45973</v>
      </c>
      <c r="H547" s="23" t="str">
        <f t="shared" si="8"/>
        <v>Delivered</v>
      </c>
      <c r="I547" s="2" t="s">
        <v>17</v>
      </c>
      <c r="J547" s="24" t="s">
        <v>1054</v>
      </c>
      <c r="K547" s="3">
        <v>45983</v>
      </c>
      <c r="L547" s="2">
        <v>5</v>
      </c>
      <c r="M547" s="2">
        <v>3</v>
      </c>
      <c r="N547" s="2">
        <v>7</v>
      </c>
      <c r="O547" s="36">
        <v>6</v>
      </c>
      <c r="P547" s="24" t="str" cm="1">
        <f t="array" ref="P547">_xlfn.IFS(O547&lt;=6,"Detractors",AND(O547&gt;=7,O547&lt;=8),"Passives",AND(O547&gt;8,O547&lt;=10),"Promoters",O547="Not Available","NA")</f>
        <v>Detractors</v>
      </c>
    </row>
    <row r="548" spans="1:16" ht="14.25" customHeight="1" x14ac:dyDescent="0.3">
      <c r="A548" s="2" t="s">
        <v>574</v>
      </c>
      <c r="B548" s="2" t="s">
        <v>21</v>
      </c>
      <c r="C548" s="2" t="s">
        <v>16</v>
      </c>
      <c r="D548" s="3">
        <v>45948</v>
      </c>
      <c r="E548" s="3">
        <v>45953</v>
      </c>
      <c r="F548" s="3">
        <v>45956</v>
      </c>
      <c r="G548" s="3">
        <v>45963</v>
      </c>
      <c r="H548" s="23" t="str">
        <f t="shared" si="8"/>
        <v>Delivered</v>
      </c>
      <c r="I548" s="2" t="s">
        <v>17</v>
      </c>
      <c r="J548" s="24" t="s">
        <v>1054</v>
      </c>
      <c r="K548" s="3">
        <v>45980</v>
      </c>
      <c r="L548" s="2">
        <v>5</v>
      </c>
      <c r="M548" s="2">
        <v>3</v>
      </c>
      <c r="N548" s="2">
        <v>7</v>
      </c>
      <c r="O548" s="36">
        <v>3</v>
      </c>
      <c r="P548" s="24" t="str" cm="1">
        <f t="array" ref="P548">_xlfn.IFS(O548&lt;=6,"Detractors",AND(O548&gt;=7,O548&lt;=8),"Passives",AND(O548&gt;8,O548&lt;=10),"Promoters",O548="Not Available","NA")</f>
        <v>Detractors</v>
      </c>
    </row>
    <row r="549" spans="1:16" ht="14.25" customHeight="1" x14ac:dyDescent="0.3">
      <c r="A549" s="2" t="s">
        <v>575</v>
      </c>
      <c r="B549" s="2" t="s">
        <v>21</v>
      </c>
      <c r="C549" s="2" t="s">
        <v>16</v>
      </c>
      <c r="D549" s="3">
        <v>45943</v>
      </c>
      <c r="E549" s="3">
        <v>45948</v>
      </c>
      <c r="F549" s="3">
        <v>45952</v>
      </c>
      <c r="G549" s="3">
        <v>45959</v>
      </c>
      <c r="H549" s="23" t="str">
        <f t="shared" si="8"/>
        <v>Delivered</v>
      </c>
      <c r="I549" s="2" t="s">
        <v>17</v>
      </c>
      <c r="J549" s="24" t="s">
        <v>1054</v>
      </c>
      <c r="K549" s="3">
        <v>45977</v>
      </c>
      <c r="L549" s="2">
        <v>5</v>
      </c>
      <c r="M549" s="2">
        <v>4</v>
      </c>
      <c r="N549" s="2">
        <v>7</v>
      </c>
      <c r="O549" s="36">
        <v>4</v>
      </c>
      <c r="P549" s="24" t="str" cm="1">
        <f t="array" ref="P549">_xlfn.IFS(O549&lt;=6,"Detractors",AND(O549&gt;=7,O549&lt;=8),"Passives",AND(O549&gt;8,O549&lt;=10),"Promoters",O549="Not Available","NA")</f>
        <v>Detractors</v>
      </c>
    </row>
    <row r="550" spans="1:16" ht="14.25" customHeight="1" x14ac:dyDescent="0.3">
      <c r="A550" s="2" t="s">
        <v>576</v>
      </c>
      <c r="B550" s="2" t="s">
        <v>21</v>
      </c>
      <c r="C550" s="2" t="s">
        <v>16</v>
      </c>
      <c r="D550" s="3">
        <v>45961</v>
      </c>
      <c r="E550" s="3">
        <v>45966</v>
      </c>
      <c r="F550" s="3">
        <v>45967</v>
      </c>
      <c r="G550" s="3">
        <v>45974</v>
      </c>
      <c r="H550" s="23" t="str">
        <f t="shared" si="8"/>
        <v>Delivered</v>
      </c>
      <c r="I550" s="2" t="s">
        <v>17</v>
      </c>
      <c r="J550" s="24" t="s">
        <v>1054</v>
      </c>
      <c r="K550" s="3">
        <v>46003</v>
      </c>
      <c r="L550" s="2">
        <v>5</v>
      </c>
      <c r="M550" s="2">
        <v>1</v>
      </c>
      <c r="N550" s="2">
        <v>7</v>
      </c>
      <c r="O550" s="36">
        <v>6</v>
      </c>
      <c r="P550" s="24" t="str" cm="1">
        <f t="array" ref="P550">_xlfn.IFS(O550&lt;=6,"Detractors",AND(O550&gt;=7,O550&lt;=8),"Passives",AND(O550&gt;8,O550&lt;=10),"Promoters",O550="Not Available","NA")</f>
        <v>Detractors</v>
      </c>
    </row>
    <row r="551" spans="1:16" ht="14.25" customHeight="1" x14ac:dyDescent="0.3">
      <c r="A551" s="2" t="s">
        <v>577</v>
      </c>
      <c r="B551" s="2" t="s">
        <v>21</v>
      </c>
      <c r="C551" s="2" t="s">
        <v>16</v>
      </c>
      <c r="D551" s="3">
        <v>45941</v>
      </c>
      <c r="E551" s="3">
        <v>45946</v>
      </c>
      <c r="F551" s="3">
        <v>45951</v>
      </c>
      <c r="G551" s="3">
        <v>45953</v>
      </c>
      <c r="H551" s="23" t="str">
        <f t="shared" si="8"/>
        <v>Delivered</v>
      </c>
      <c r="I551" s="2" t="s">
        <v>17</v>
      </c>
      <c r="J551" s="24" t="s">
        <v>1054</v>
      </c>
      <c r="K551" s="3">
        <v>45972</v>
      </c>
      <c r="L551" s="2">
        <v>5</v>
      </c>
      <c r="M551" s="2">
        <v>5</v>
      </c>
      <c r="N551" s="2">
        <v>2</v>
      </c>
      <c r="O551" s="36">
        <v>5</v>
      </c>
      <c r="P551" s="24" t="str" cm="1">
        <f t="array" ref="P551">_xlfn.IFS(O551&lt;=6,"Detractors",AND(O551&gt;=7,O551&lt;=8),"Passives",AND(O551&gt;8,O551&lt;=10),"Promoters",O551="Not Available","NA")</f>
        <v>Detractors</v>
      </c>
    </row>
    <row r="552" spans="1:16" ht="14.25" customHeight="1" x14ac:dyDescent="0.3">
      <c r="A552" s="2" t="s">
        <v>578</v>
      </c>
      <c r="B552" s="2" t="s">
        <v>32</v>
      </c>
      <c r="C552" s="2" t="s">
        <v>16</v>
      </c>
      <c r="D552" s="3">
        <v>45951</v>
      </c>
      <c r="E552" s="3">
        <v>45952</v>
      </c>
      <c r="F552" s="3">
        <v>45954</v>
      </c>
      <c r="G552" s="3">
        <v>45958</v>
      </c>
      <c r="H552" s="23" t="str">
        <f t="shared" si="8"/>
        <v>Delivered</v>
      </c>
      <c r="I552" s="2" t="s">
        <v>17</v>
      </c>
      <c r="J552" s="24" t="s">
        <v>1054</v>
      </c>
      <c r="K552" s="3">
        <v>45988</v>
      </c>
      <c r="L552" s="2">
        <v>1</v>
      </c>
      <c r="M552" s="2">
        <v>2</v>
      </c>
      <c r="N552" s="2">
        <v>4</v>
      </c>
      <c r="O552" s="36">
        <v>3</v>
      </c>
      <c r="P552" s="24" t="str" cm="1">
        <f t="array" ref="P552">_xlfn.IFS(O552&lt;=6,"Detractors",AND(O552&gt;=7,O552&lt;=8),"Passives",AND(O552&gt;8,O552&lt;=10),"Promoters",O552="Not Available","NA")</f>
        <v>Detractors</v>
      </c>
    </row>
    <row r="553" spans="1:16" ht="14.25" customHeight="1" x14ac:dyDescent="0.3">
      <c r="A553" s="42" t="s">
        <v>579</v>
      </c>
      <c r="B553" s="2" t="s">
        <v>32</v>
      </c>
      <c r="C553" s="2" t="s">
        <v>30</v>
      </c>
      <c r="D553" s="3">
        <v>45953</v>
      </c>
      <c r="E553" s="3">
        <v>45957</v>
      </c>
      <c r="F553" s="3">
        <v>45959</v>
      </c>
      <c r="G553" s="3">
        <v>45966</v>
      </c>
      <c r="H553" s="23" t="str">
        <f t="shared" si="8"/>
        <v>Delivered</v>
      </c>
      <c r="I553" s="2" t="s">
        <v>17</v>
      </c>
      <c r="J553" s="24" t="s">
        <v>1054</v>
      </c>
      <c r="K553" s="3">
        <v>45984</v>
      </c>
      <c r="L553" s="2">
        <v>4</v>
      </c>
      <c r="M553" s="2">
        <v>2</v>
      </c>
      <c r="N553" s="2">
        <v>7</v>
      </c>
      <c r="O553" s="36">
        <v>3</v>
      </c>
      <c r="P553" s="24" t="str" cm="1">
        <f t="array" ref="P553">_xlfn.IFS(O553&lt;=6,"Detractors",AND(O553&gt;=7,O553&lt;=8),"Passives",AND(O553&gt;8,O553&lt;=10),"Promoters",O553="Not Available","NA")</f>
        <v>Detractors</v>
      </c>
    </row>
    <row r="554" spans="1:16" ht="14.25" customHeight="1" x14ac:dyDescent="0.3">
      <c r="A554" s="2" t="s">
        <v>580</v>
      </c>
      <c r="B554" s="2" t="s">
        <v>19</v>
      </c>
      <c r="C554" s="2" t="s">
        <v>16</v>
      </c>
      <c r="D554" s="3">
        <v>45959</v>
      </c>
      <c r="E554" s="3">
        <v>45963</v>
      </c>
      <c r="F554" s="3">
        <v>45964</v>
      </c>
      <c r="G554" s="3">
        <v>45969</v>
      </c>
      <c r="H554" s="23" t="str">
        <f t="shared" si="8"/>
        <v>Delivered</v>
      </c>
      <c r="I554" s="2" t="s">
        <v>17</v>
      </c>
      <c r="J554" s="24" t="s">
        <v>1054</v>
      </c>
      <c r="K554" s="3">
        <v>45992</v>
      </c>
      <c r="L554" s="2">
        <v>4</v>
      </c>
      <c r="M554" s="2">
        <v>1</v>
      </c>
      <c r="N554" s="2">
        <v>5</v>
      </c>
      <c r="O554" s="36">
        <v>9</v>
      </c>
      <c r="P554" s="24" t="str" cm="1">
        <f t="array" ref="P554">_xlfn.IFS(O554&lt;=6,"Detractors",AND(O554&gt;=7,O554&lt;=8),"Passives",AND(O554&gt;8,O554&lt;=10),"Promoters",O554="Not Available","NA")</f>
        <v>Promoters</v>
      </c>
    </row>
    <row r="555" spans="1:16" ht="14.25" customHeight="1" x14ac:dyDescent="0.3">
      <c r="A555" s="2" t="s">
        <v>581</v>
      </c>
      <c r="B555" s="2" t="s">
        <v>21</v>
      </c>
      <c r="C555" s="2" t="s">
        <v>22</v>
      </c>
      <c r="D555" s="3">
        <v>45955</v>
      </c>
      <c r="H555" s="23" t="str">
        <f t="shared" si="8"/>
        <v>Not Delivered</v>
      </c>
      <c r="I555" s="2" t="s">
        <v>23</v>
      </c>
      <c r="J555" s="2" t="s">
        <v>63</v>
      </c>
      <c r="L555">
        <v>0</v>
      </c>
      <c r="M555">
        <v>0</v>
      </c>
      <c r="N555">
        <v>0</v>
      </c>
      <c r="O555" t="s">
        <v>1080</v>
      </c>
      <c r="P555" s="24" t="str" cm="1">
        <f t="array" ref="P555">_xlfn.IFS(O555&lt;=6,"Detractors",AND(O555&gt;=7,O555&lt;=8),"Passives",AND(O555&gt;8,O555&lt;=10),"Promoters",O555="Not Available","NA")</f>
        <v>NA</v>
      </c>
    </row>
    <row r="556" spans="1:16" ht="14.25" customHeight="1" x14ac:dyDescent="0.3">
      <c r="A556" s="2" t="s">
        <v>582</v>
      </c>
      <c r="B556" s="2" t="s">
        <v>21</v>
      </c>
      <c r="C556" s="2" t="s">
        <v>16</v>
      </c>
      <c r="D556" s="3">
        <v>45946</v>
      </c>
      <c r="E556" s="3">
        <v>45947</v>
      </c>
      <c r="F556" s="3">
        <v>45950</v>
      </c>
      <c r="G556" s="3">
        <v>45957</v>
      </c>
      <c r="H556" s="23" t="str">
        <f t="shared" si="8"/>
        <v>Delivered</v>
      </c>
      <c r="I556" s="2" t="s">
        <v>17</v>
      </c>
      <c r="J556" s="24" t="s">
        <v>1054</v>
      </c>
      <c r="K556" s="3">
        <v>45979</v>
      </c>
      <c r="L556" s="2">
        <v>1</v>
      </c>
      <c r="M556" s="2">
        <v>3</v>
      </c>
      <c r="N556" s="2">
        <v>7</v>
      </c>
      <c r="O556" s="36">
        <v>2</v>
      </c>
      <c r="P556" s="24" t="str" cm="1">
        <f t="array" ref="P556">_xlfn.IFS(O556&lt;=6,"Detractors",AND(O556&gt;=7,O556&lt;=8),"Passives",AND(O556&gt;8,O556&lt;=10),"Promoters",O556="Not Available","NA")</f>
        <v>Detractors</v>
      </c>
    </row>
    <row r="557" spans="1:16" ht="14.25" customHeight="1" x14ac:dyDescent="0.3">
      <c r="A557" s="2" t="s">
        <v>583</v>
      </c>
      <c r="B557" s="2" t="s">
        <v>15</v>
      </c>
      <c r="C557" s="2" t="s">
        <v>16</v>
      </c>
      <c r="D557" s="3">
        <v>45958</v>
      </c>
      <c r="E557" s="3">
        <v>45962</v>
      </c>
      <c r="F557" s="3">
        <v>45967</v>
      </c>
      <c r="G557" s="3">
        <v>45970</v>
      </c>
      <c r="H557" s="23" t="str">
        <f t="shared" si="8"/>
        <v>Delivered</v>
      </c>
      <c r="I557" s="2" t="s">
        <v>17</v>
      </c>
      <c r="J557" s="24" t="s">
        <v>1054</v>
      </c>
      <c r="K557" s="3">
        <v>45991</v>
      </c>
      <c r="L557" s="2">
        <v>4</v>
      </c>
      <c r="M557" s="2">
        <v>5</v>
      </c>
      <c r="N557" s="2">
        <v>3</v>
      </c>
      <c r="O557" s="36">
        <v>8</v>
      </c>
      <c r="P557" s="24" t="str" cm="1">
        <f t="array" ref="P557">_xlfn.IFS(O557&lt;=6,"Detractors",AND(O557&gt;=7,O557&lt;=8),"Passives",AND(O557&gt;8,O557&lt;=10),"Promoters",O557="Not Available","NA")</f>
        <v>Passives</v>
      </c>
    </row>
    <row r="558" spans="1:16" ht="14.25" customHeight="1" x14ac:dyDescent="0.3">
      <c r="A558" s="42" t="s">
        <v>584</v>
      </c>
      <c r="B558" s="2" t="s">
        <v>32</v>
      </c>
      <c r="C558" s="2" t="s">
        <v>30</v>
      </c>
      <c r="D558" s="3">
        <v>45948</v>
      </c>
      <c r="E558" s="3">
        <v>45951</v>
      </c>
      <c r="F558" s="3">
        <v>45956</v>
      </c>
      <c r="G558" s="3">
        <v>45958</v>
      </c>
      <c r="H558" s="23" t="str">
        <f t="shared" si="8"/>
        <v>Delivered</v>
      </c>
      <c r="I558" s="2" t="s">
        <v>17</v>
      </c>
      <c r="J558" s="24" t="s">
        <v>1054</v>
      </c>
      <c r="K558" s="3">
        <v>45982</v>
      </c>
      <c r="L558" s="2">
        <v>3</v>
      </c>
      <c r="M558" s="2">
        <v>5</v>
      </c>
      <c r="N558" s="2">
        <v>2</v>
      </c>
      <c r="O558" s="36">
        <v>1</v>
      </c>
      <c r="P558" s="24" t="str" cm="1">
        <f t="array" ref="P558">_xlfn.IFS(O558&lt;=6,"Detractors",AND(O558&gt;=7,O558&lt;=8),"Passives",AND(O558&gt;8,O558&lt;=10),"Promoters",O558="Not Available","NA")</f>
        <v>Detractors</v>
      </c>
    </row>
    <row r="559" spans="1:16" ht="14.25" customHeight="1" x14ac:dyDescent="0.3">
      <c r="A559" s="2" t="s">
        <v>585</v>
      </c>
      <c r="B559" s="2" t="s">
        <v>21</v>
      </c>
      <c r="C559" s="2" t="s">
        <v>16</v>
      </c>
      <c r="D559" s="3">
        <v>45932</v>
      </c>
      <c r="E559" s="3">
        <v>45935</v>
      </c>
      <c r="F559" s="3">
        <v>45940</v>
      </c>
      <c r="G559" s="3">
        <v>45943</v>
      </c>
      <c r="H559" s="23" t="str">
        <f t="shared" si="8"/>
        <v>Delivered</v>
      </c>
      <c r="I559" s="2" t="s">
        <v>17</v>
      </c>
      <c r="J559" s="24" t="s">
        <v>1054</v>
      </c>
      <c r="K559" s="3">
        <v>45961</v>
      </c>
      <c r="L559" s="2">
        <v>3</v>
      </c>
      <c r="M559" s="2">
        <v>5</v>
      </c>
      <c r="N559" s="2">
        <v>3</v>
      </c>
      <c r="O559" s="36">
        <v>2</v>
      </c>
      <c r="P559" s="24" t="str" cm="1">
        <f t="array" ref="P559">_xlfn.IFS(O559&lt;=6,"Detractors",AND(O559&gt;=7,O559&lt;=8),"Passives",AND(O559&gt;8,O559&lt;=10),"Promoters",O559="Not Available","NA")</f>
        <v>Detractors</v>
      </c>
    </row>
    <row r="560" spans="1:16" ht="14.25" customHeight="1" x14ac:dyDescent="0.3">
      <c r="A560" s="2" t="s">
        <v>586</v>
      </c>
      <c r="B560" s="2" t="s">
        <v>19</v>
      </c>
      <c r="C560" s="2" t="s">
        <v>16</v>
      </c>
      <c r="D560" s="3">
        <v>45950</v>
      </c>
      <c r="E560" s="3">
        <v>45951</v>
      </c>
      <c r="F560" s="3">
        <v>45955</v>
      </c>
      <c r="G560" s="3">
        <v>45957</v>
      </c>
      <c r="H560" s="23" t="str">
        <f t="shared" si="8"/>
        <v>Delivered</v>
      </c>
      <c r="I560" s="2" t="s">
        <v>17</v>
      </c>
      <c r="J560" s="24" t="s">
        <v>1054</v>
      </c>
      <c r="K560" s="3">
        <v>45973</v>
      </c>
      <c r="L560" s="2">
        <v>1</v>
      </c>
      <c r="M560" s="2">
        <v>4</v>
      </c>
      <c r="N560" s="2">
        <v>2</v>
      </c>
      <c r="O560" s="36">
        <v>6</v>
      </c>
      <c r="P560" s="24" t="str" cm="1">
        <f t="array" ref="P560">_xlfn.IFS(O560&lt;=6,"Detractors",AND(O560&gt;=7,O560&lt;=8),"Passives",AND(O560&gt;8,O560&lt;=10),"Promoters",O560="Not Available","NA")</f>
        <v>Detractors</v>
      </c>
    </row>
    <row r="561" spans="1:16" ht="14.25" customHeight="1" x14ac:dyDescent="0.3">
      <c r="A561" s="2" t="s">
        <v>587</v>
      </c>
      <c r="B561" s="2" t="s">
        <v>19</v>
      </c>
      <c r="C561" s="2" t="s">
        <v>22</v>
      </c>
      <c r="D561" s="3">
        <v>45933</v>
      </c>
      <c r="H561" s="23" t="str">
        <f t="shared" si="8"/>
        <v>Not Delivered</v>
      </c>
      <c r="I561" s="2" t="s">
        <v>23</v>
      </c>
      <c r="J561" s="2" t="s">
        <v>26</v>
      </c>
      <c r="L561">
        <v>0</v>
      </c>
      <c r="M561">
        <v>0</v>
      </c>
      <c r="N561">
        <v>0</v>
      </c>
      <c r="O561" t="s">
        <v>1080</v>
      </c>
      <c r="P561" s="24" t="str" cm="1">
        <f t="array" ref="P561">_xlfn.IFS(O561&lt;=6,"Detractors",AND(O561&gt;=7,O561&lt;=8),"Passives",AND(O561&gt;8,O561&lt;=10),"Promoters",O561="Not Available","NA")</f>
        <v>NA</v>
      </c>
    </row>
    <row r="562" spans="1:16" ht="14.25" customHeight="1" x14ac:dyDescent="0.3">
      <c r="A562" s="2" t="s">
        <v>588</v>
      </c>
      <c r="B562" s="2" t="s">
        <v>32</v>
      </c>
      <c r="C562" s="2" t="s">
        <v>16</v>
      </c>
      <c r="D562" s="3">
        <v>45938</v>
      </c>
      <c r="E562" s="3">
        <v>45941</v>
      </c>
      <c r="F562" s="3">
        <v>45944</v>
      </c>
      <c r="G562" s="3">
        <v>45949</v>
      </c>
      <c r="H562" s="23" t="str">
        <f t="shared" si="8"/>
        <v>Delivered</v>
      </c>
      <c r="I562" s="2" t="s">
        <v>17</v>
      </c>
      <c r="J562" s="24" t="s">
        <v>1054</v>
      </c>
      <c r="K562" s="3">
        <v>45973</v>
      </c>
      <c r="L562" s="2">
        <v>3</v>
      </c>
      <c r="M562" s="2">
        <v>3</v>
      </c>
      <c r="N562" s="2">
        <v>5</v>
      </c>
      <c r="O562" s="36">
        <v>6</v>
      </c>
      <c r="P562" s="24" t="str" cm="1">
        <f t="array" ref="P562">_xlfn.IFS(O562&lt;=6,"Detractors",AND(O562&gt;=7,O562&lt;=8),"Passives",AND(O562&gt;8,O562&lt;=10),"Promoters",O562="Not Available","NA")</f>
        <v>Detractors</v>
      </c>
    </row>
    <row r="563" spans="1:16" ht="14.25" customHeight="1" x14ac:dyDescent="0.3">
      <c r="A563" s="2" t="s">
        <v>589</v>
      </c>
      <c r="B563" s="2" t="s">
        <v>19</v>
      </c>
      <c r="C563" s="2" t="s">
        <v>22</v>
      </c>
      <c r="D563" s="3">
        <v>45951</v>
      </c>
      <c r="H563" s="23" t="str">
        <f t="shared" si="8"/>
        <v>Not Delivered</v>
      </c>
      <c r="I563" s="2" t="s">
        <v>23</v>
      </c>
      <c r="J563" s="2" t="s">
        <v>101</v>
      </c>
      <c r="L563">
        <v>0</v>
      </c>
      <c r="M563">
        <v>0</v>
      </c>
      <c r="N563">
        <v>0</v>
      </c>
      <c r="O563" t="s">
        <v>1080</v>
      </c>
      <c r="P563" s="24" t="str" cm="1">
        <f t="array" ref="P563">_xlfn.IFS(O563&lt;=6,"Detractors",AND(O563&gt;=7,O563&lt;=8),"Passives",AND(O563&gt;8,O563&lt;=10),"Promoters",O563="Not Available","NA")</f>
        <v>NA</v>
      </c>
    </row>
    <row r="564" spans="1:16" ht="14.25" customHeight="1" x14ac:dyDescent="0.3">
      <c r="A564" s="2" t="s">
        <v>590</v>
      </c>
      <c r="B564" s="2" t="s">
        <v>19</v>
      </c>
      <c r="C564" s="2" t="s">
        <v>16</v>
      </c>
      <c r="D564" s="3">
        <v>45952</v>
      </c>
      <c r="E564" s="3">
        <v>45953</v>
      </c>
      <c r="F564" s="3">
        <v>45955</v>
      </c>
      <c r="G564" s="3">
        <v>45957</v>
      </c>
      <c r="H564" s="23" t="str">
        <f t="shared" si="8"/>
        <v>Delivered</v>
      </c>
      <c r="I564" s="2" t="s">
        <v>17</v>
      </c>
      <c r="J564" s="24" t="s">
        <v>1054</v>
      </c>
      <c r="K564" s="3">
        <v>45976</v>
      </c>
      <c r="L564" s="2">
        <v>1</v>
      </c>
      <c r="M564" s="2">
        <v>2</v>
      </c>
      <c r="N564" s="2">
        <v>2</v>
      </c>
      <c r="O564" s="36">
        <v>1</v>
      </c>
      <c r="P564" s="24" t="str" cm="1">
        <f t="array" ref="P564">_xlfn.IFS(O564&lt;=6,"Detractors",AND(O564&gt;=7,O564&lt;=8),"Passives",AND(O564&gt;8,O564&lt;=10),"Promoters",O564="Not Available","NA")</f>
        <v>Detractors</v>
      </c>
    </row>
    <row r="565" spans="1:16" ht="14.25" customHeight="1" x14ac:dyDescent="0.3">
      <c r="A565" s="42" t="s">
        <v>591</v>
      </c>
      <c r="B565" s="2" t="s">
        <v>32</v>
      </c>
      <c r="C565" s="2" t="s">
        <v>30</v>
      </c>
      <c r="D565" s="3">
        <v>45960</v>
      </c>
      <c r="E565" s="3">
        <v>45963</v>
      </c>
      <c r="F565" s="3">
        <v>45965</v>
      </c>
      <c r="G565" s="3">
        <v>45970</v>
      </c>
      <c r="H565" s="23" t="str">
        <f t="shared" si="8"/>
        <v>Delivered</v>
      </c>
      <c r="I565" s="2" t="s">
        <v>17</v>
      </c>
      <c r="J565" s="24" t="s">
        <v>1054</v>
      </c>
      <c r="K565" s="3">
        <v>45996</v>
      </c>
      <c r="L565" s="2">
        <v>3</v>
      </c>
      <c r="M565" s="2">
        <v>2</v>
      </c>
      <c r="N565" s="2">
        <v>5</v>
      </c>
      <c r="O565" s="36">
        <v>3</v>
      </c>
      <c r="P565" s="24" t="str" cm="1">
        <f t="array" ref="P565">_xlfn.IFS(O565&lt;=6,"Detractors",AND(O565&gt;=7,O565&lt;=8),"Passives",AND(O565&gt;8,O565&lt;=10),"Promoters",O565="Not Available","NA")</f>
        <v>Detractors</v>
      </c>
    </row>
    <row r="566" spans="1:16" ht="14.25" customHeight="1" x14ac:dyDescent="0.3">
      <c r="A566" s="2" t="s">
        <v>592</v>
      </c>
      <c r="B566" s="2" t="s">
        <v>21</v>
      </c>
      <c r="C566" s="2" t="s">
        <v>16</v>
      </c>
      <c r="D566" s="3">
        <v>45940</v>
      </c>
      <c r="E566" s="3">
        <v>45942</v>
      </c>
      <c r="F566" s="3">
        <v>45945</v>
      </c>
      <c r="G566" s="3">
        <v>45951</v>
      </c>
      <c r="H566" s="23" t="str">
        <f t="shared" si="8"/>
        <v>Delivered</v>
      </c>
      <c r="I566" s="2" t="s">
        <v>17</v>
      </c>
      <c r="J566" s="24" t="s">
        <v>1054</v>
      </c>
      <c r="K566" s="3">
        <v>45980</v>
      </c>
      <c r="L566" s="2">
        <v>2</v>
      </c>
      <c r="M566" s="2">
        <v>3</v>
      </c>
      <c r="N566" s="2">
        <v>6</v>
      </c>
      <c r="O566" s="36">
        <v>4</v>
      </c>
      <c r="P566" s="24" t="str" cm="1">
        <f t="array" ref="P566">_xlfn.IFS(O566&lt;=6,"Detractors",AND(O566&gt;=7,O566&lt;=8),"Passives",AND(O566&gt;8,O566&lt;=10),"Promoters",O566="Not Available","NA")</f>
        <v>Detractors</v>
      </c>
    </row>
    <row r="567" spans="1:16" ht="14.25" customHeight="1" x14ac:dyDescent="0.3">
      <c r="A567" s="42" t="s">
        <v>593</v>
      </c>
      <c r="B567" s="2" t="s">
        <v>21</v>
      </c>
      <c r="C567" s="2" t="s">
        <v>30</v>
      </c>
      <c r="D567" s="3">
        <v>45938</v>
      </c>
      <c r="E567" s="3">
        <v>45939</v>
      </c>
      <c r="F567" s="3">
        <v>45941</v>
      </c>
      <c r="G567" s="3">
        <v>45947</v>
      </c>
      <c r="H567" s="23" t="str">
        <f t="shared" si="8"/>
        <v>Delivered</v>
      </c>
      <c r="I567" s="2" t="s">
        <v>17</v>
      </c>
      <c r="J567" s="24" t="s">
        <v>1054</v>
      </c>
      <c r="K567" s="3">
        <v>45969</v>
      </c>
      <c r="L567" s="2">
        <v>1</v>
      </c>
      <c r="M567" s="2">
        <v>2</v>
      </c>
      <c r="N567" s="2">
        <v>6</v>
      </c>
      <c r="O567" s="36">
        <v>5</v>
      </c>
      <c r="P567" s="24" t="str" cm="1">
        <f t="array" ref="P567">_xlfn.IFS(O567&lt;=6,"Detractors",AND(O567&gt;=7,O567&lt;=8),"Passives",AND(O567&gt;8,O567&lt;=10),"Promoters",O567="Not Available","NA")</f>
        <v>Detractors</v>
      </c>
    </row>
    <row r="568" spans="1:16" ht="14.25" customHeight="1" x14ac:dyDescent="0.3">
      <c r="A568" s="42" t="s">
        <v>594</v>
      </c>
      <c r="B568" s="2" t="s">
        <v>19</v>
      </c>
      <c r="C568" s="2" t="s">
        <v>30</v>
      </c>
      <c r="D568" s="3">
        <v>45954</v>
      </c>
      <c r="E568" s="3">
        <v>45959</v>
      </c>
      <c r="F568" s="3">
        <v>45963</v>
      </c>
      <c r="G568" s="3">
        <v>45965</v>
      </c>
      <c r="H568" s="23" t="str">
        <f t="shared" si="8"/>
        <v>Delivered</v>
      </c>
      <c r="I568" s="2" t="s">
        <v>17</v>
      </c>
      <c r="J568" s="24" t="s">
        <v>1054</v>
      </c>
      <c r="K568" s="3">
        <v>45993</v>
      </c>
      <c r="L568" s="2">
        <v>5</v>
      </c>
      <c r="M568" s="2">
        <v>4</v>
      </c>
      <c r="N568" s="2">
        <v>2</v>
      </c>
      <c r="O568" s="36">
        <v>3</v>
      </c>
      <c r="P568" s="24" t="str" cm="1">
        <f t="array" ref="P568">_xlfn.IFS(O568&lt;=6,"Detractors",AND(O568&gt;=7,O568&lt;=8),"Passives",AND(O568&gt;8,O568&lt;=10),"Promoters",O568="Not Available","NA")</f>
        <v>Detractors</v>
      </c>
    </row>
    <row r="569" spans="1:16" ht="14.25" customHeight="1" x14ac:dyDescent="0.3">
      <c r="A569" s="2" t="s">
        <v>595</v>
      </c>
      <c r="B569" s="2" t="s">
        <v>19</v>
      </c>
      <c r="C569" s="2" t="s">
        <v>22</v>
      </c>
      <c r="D569" s="3">
        <v>45933</v>
      </c>
      <c r="H569" s="23" t="str">
        <f t="shared" si="8"/>
        <v>Not Delivered</v>
      </c>
      <c r="I569" s="2" t="s">
        <v>23</v>
      </c>
      <c r="J569" s="2" t="s">
        <v>101</v>
      </c>
      <c r="L569">
        <v>0</v>
      </c>
      <c r="M569">
        <v>0</v>
      </c>
      <c r="N569">
        <v>0</v>
      </c>
      <c r="O569" t="s">
        <v>1080</v>
      </c>
      <c r="P569" s="24" t="str" cm="1">
        <f t="array" ref="P569">_xlfn.IFS(O569&lt;=6,"Detractors",AND(O569&gt;=7,O569&lt;=8),"Passives",AND(O569&gt;8,O569&lt;=10),"Promoters",O569="Not Available","NA")</f>
        <v>NA</v>
      </c>
    </row>
    <row r="570" spans="1:16" ht="14.25" customHeight="1" x14ac:dyDescent="0.3">
      <c r="A570" s="2" t="s">
        <v>596</v>
      </c>
      <c r="B570" s="2" t="s">
        <v>21</v>
      </c>
      <c r="C570" s="2" t="s">
        <v>16</v>
      </c>
      <c r="D570" s="3">
        <v>45944</v>
      </c>
      <c r="E570" s="3">
        <v>45947</v>
      </c>
      <c r="F570" s="3">
        <v>45952</v>
      </c>
      <c r="G570" s="3">
        <v>45956</v>
      </c>
      <c r="H570" s="23" t="str">
        <f t="shared" si="8"/>
        <v>Delivered</v>
      </c>
      <c r="I570" s="2" t="s">
        <v>17</v>
      </c>
      <c r="J570" s="24" t="s">
        <v>1054</v>
      </c>
      <c r="K570" s="3">
        <v>45969</v>
      </c>
      <c r="L570" s="2">
        <v>3</v>
      </c>
      <c r="M570" s="2">
        <v>5</v>
      </c>
      <c r="N570" s="2">
        <v>4</v>
      </c>
      <c r="O570" s="36">
        <v>9</v>
      </c>
      <c r="P570" s="24" t="str" cm="1">
        <f t="array" ref="P570">_xlfn.IFS(O570&lt;=6,"Detractors",AND(O570&gt;=7,O570&lt;=8),"Passives",AND(O570&gt;8,O570&lt;=10),"Promoters",O570="Not Available","NA")</f>
        <v>Promoters</v>
      </c>
    </row>
    <row r="571" spans="1:16" ht="14.25" customHeight="1" x14ac:dyDescent="0.3">
      <c r="A571" s="2" t="s">
        <v>597</v>
      </c>
      <c r="B571" s="2" t="s">
        <v>32</v>
      </c>
      <c r="C571" s="2" t="s">
        <v>16</v>
      </c>
      <c r="D571" s="3">
        <v>45934</v>
      </c>
      <c r="E571" s="3">
        <v>45936</v>
      </c>
      <c r="F571" s="3">
        <v>45938</v>
      </c>
      <c r="G571" s="3">
        <v>45945</v>
      </c>
      <c r="H571" s="23" t="str">
        <f t="shared" si="8"/>
        <v>Delivered</v>
      </c>
      <c r="I571" s="2" t="s">
        <v>17</v>
      </c>
      <c r="J571" s="24" t="s">
        <v>1054</v>
      </c>
      <c r="K571" s="3">
        <v>45955</v>
      </c>
      <c r="L571" s="2">
        <v>2</v>
      </c>
      <c r="M571" s="2">
        <v>2</v>
      </c>
      <c r="N571" s="2">
        <v>7</v>
      </c>
      <c r="O571" s="36">
        <v>4</v>
      </c>
      <c r="P571" s="24" t="str" cm="1">
        <f t="array" ref="P571">_xlfn.IFS(O571&lt;=6,"Detractors",AND(O571&gt;=7,O571&lt;=8),"Passives",AND(O571&gt;8,O571&lt;=10),"Promoters",O571="Not Available","NA")</f>
        <v>Detractors</v>
      </c>
    </row>
    <row r="572" spans="1:16" ht="14.25" customHeight="1" x14ac:dyDescent="0.3">
      <c r="A572" s="42" t="s">
        <v>598</v>
      </c>
      <c r="B572" s="2" t="s">
        <v>19</v>
      </c>
      <c r="C572" s="2" t="s">
        <v>30</v>
      </c>
      <c r="D572" s="3">
        <v>45955</v>
      </c>
      <c r="E572" s="3">
        <v>45956</v>
      </c>
      <c r="F572" s="3">
        <v>45960</v>
      </c>
      <c r="G572" s="3">
        <v>45967</v>
      </c>
      <c r="H572" s="23" t="str">
        <f t="shared" si="8"/>
        <v>Delivered</v>
      </c>
      <c r="I572" s="2" t="s">
        <v>17</v>
      </c>
      <c r="J572" s="24" t="s">
        <v>1054</v>
      </c>
      <c r="K572" s="3">
        <v>45993</v>
      </c>
      <c r="L572" s="2">
        <v>1</v>
      </c>
      <c r="M572" s="2">
        <v>4</v>
      </c>
      <c r="N572" s="2">
        <v>7</v>
      </c>
      <c r="O572" s="36">
        <v>9</v>
      </c>
      <c r="P572" s="24" t="str" cm="1">
        <f t="array" ref="P572">_xlfn.IFS(O572&lt;=6,"Detractors",AND(O572&gt;=7,O572&lt;=8),"Passives",AND(O572&gt;8,O572&lt;=10),"Promoters",O572="Not Available","NA")</f>
        <v>Promoters</v>
      </c>
    </row>
    <row r="573" spans="1:16" ht="14.25" customHeight="1" x14ac:dyDescent="0.3">
      <c r="A573" s="2" t="s">
        <v>599</v>
      </c>
      <c r="B573" s="2" t="s">
        <v>15</v>
      </c>
      <c r="C573" s="2" t="s">
        <v>16</v>
      </c>
      <c r="D573" s="3">
        <v>45951</v>
      </c>
      <c r="E573" s="3">
        <v>45954</v>
      </c>
      <c r="F573" s="3">
        <v>45959</v>
      </c>
      <c r="G573" s="3">
        <v>45966</v>
      </c>
      <c r="H573" s="23" t="str">
        <f t="shared" si="8"/>
        <v>Delivered</v>
      </c>
      <c r="I573" s="2" t="s">
        <v>17</v>
      </c>
      <c r="J573" s="24" t="s">
        <v>1054</v>
      </c>
      <c r="K573" s="3">
        <v>45987</v>
      </c>
      <c r="L573" s="2">
        <v>3</v>
      </c>
      <c r="M573" s="2">
        <v>5</v>
      </c>
      <c r="N573" s="2">
        <v>7</v>
      </c>
      <c r="O573" s="36">
        <v>2</v>
      </c>
      <c r="P573" s="24" t="str" cm="1">
        <f t="array" ref="P573">_xlfn.IFS(O573&lt;=6,"Detractors",AND(O573&gt;=7,O573&lt;=8),"Passives",AND(O573&gt;8,O573&lt;=10),"Promoters",O573="Not Available","NA")</f>
        <v>Detractors</v>
      </c>
    </row>
    <row r="574" spans="1:16" ht="14.25" customHeight="1" x14ac:dyDescent="0.3">
      <c r="A574" s="42" t="s">
        <v>600</v>
      </c>
      <c r="B574" s="2" t="s">
        <v>32</v>
      </c>
      <c r="C574" s="2" t="s">
        <v>30</v>
      </c>
      <c r="D574" s="3">
        <v>45953</v>
      </c>
      <c r="E574" s="3">
        <v>45958</v>
      </c>
      <c r="F574" s="3">
        <v>45961</v>
      </c>
      <c r="G574" s="3">
        <v>45968</v>
      </c>
      <c r="H574" s="23" t="str">
        <f t="shared" si="8"/>
        <v>Delivered</v>
      </c>
      <c r="I574" s="2" t="s">
        <v>17</v>
      </c>
      <c r="J574" s="24" t="s">
        <v>1054</v>
      </c>
      <c r="K574" s="3">
        <v>45995</v>
      </c>
      <c r="L574" s="2">
        <v>5</v>
      </c>
      <c r="M574" s="2">
        <v>3</v>
      </c>
      <c r="N574" s="2">
        <v>7</v>
      </c>
      <c r="O574" s="36">
        <v>1</v>
      </c>
      <c r="P574" s="24" t="str" cm="1">
        <f t="array" ref="P574">_xlfn.IFS(O574&lt;=6,"Detractors",AND(O574&gt;=7,O574&lt;=8),"Passives",AND(O574&gt;8,O574&lt;=10),"Promoters",O574="Not Available","NA")</f>
        <v>Detractors</v>
      </c>
    </row>
    <row r="575" spans="1:16" ht="14.25" customHeight="1" x14ac:dyDescent="0.3">
      <c r="A575" s="42" t="s">
        <v>601</v>
      </c>
      <c r="B575" s="2" t="s">
        <v>19</v>
      </c>
      <c r="C575" s="2" t="s">
        <v>30</v>
      </c>
      <c r="D575" s="3">
        <v>45958</v>
      </c>
      <c r="E575" s="3">
        <v>45961</v>
      </c>
      <c r="F575" s="3">
        <v>45964</v>
      </c>
      <c r="G575" s="3">
        <v>45967</v>
      </c>
      <c r="H575" s="23" t="str">
        <f t="shared" si="8"/>
        <v>Delivered</v>
      </c>
      <c r="I575" s="2" t="s">
        <v>17</v>
      </c>
      <c r="J575" s="24" t="s">
        <v>1054</v>
      </c>
      <c r="K575" s="3">
        <v>45997</v>
      </c>
      <c r="L575" s="2">
        <v>3</v>
      </c>
      <c r="M575" s="2">
        <v>3</v>
      </c>
      <c r="N575" s="2">
        <v>3</v>
      </c>
      <c r="O575" s="36">
        <v>7</v>
      </c>
      <c r="P575" s="24" t="str" cm="1">
        <f t="array" ref="P575">_xlfn.IFS(O575&lt;=6,"Detractors",AND(O575&gt;=7,O575&lt;=8),"Passives",AND(O575&gt;8,O575&lt;=10),"Promoters",O575="Not Available","NA")</f>
        <v>Passives</v>
      </c>
    </row>
    <row r="576" spans="1:16" ht="14.25" customHeight="1" x14ac:dyDescent="0.3">
      <c r="A576" s="2" t="s">
        <v>602</v>
      </c>
      <c r="B576" s="2" t="s">
        <v>19</v>
      </c>
      <c r="C576" s="2" t="s">
        <v>16</v>
      </c>
      <c r="D576" s="3">
        <v>45934</v>
      </c>
      <c r="E576" s="3">
        <v>45936</v>
      </c>
      <c r="F576" s="3">
        <v>45940</v>
      </c>
      <c r="G576" s="3">
        <v>45942</v>
      </c>
      <c r="H576" s="23" t="str">
        <f t="shared" si="8"/>
        <v>Delivered</v>
      </c>
      <c r="I576" s="2" t="s">
        <v>17</v>
      </c>
      <c r="J576" s="24" t="s">
        <v>1054</v>
      </c>
      <c r="K576" s="3">
        <v>45971</v>
      </c>
      <c r="L576" s="2">
        <v>2</v>
      </c>
      <c r="M576" s="2">
        <v>4</v>
      </c>
      <c r="N576" s="2">
        <v>2</v>
      </c>
      <c r="O576" s="36">
        <v>0</v>
      </c>
      <c r="P576" s="24" t="str" cm="1">
        <f t="array" ref="P576">_xlfn.IFS(O576&lt;=6,"Detractors",AND(O576&gt;=7,O576&lt;=8),"Passives",AND(O576&gt;8,O576&lt;=10),"Promoters",O576="Not Available","NA")</f>
        <v>Detractors</v>
      </c>
    </row>
    <row r="577" spans="1:16" ht="14.25" customHeight="1" x14ac:dyDescent="0.3">
      <c r="A577" s="42" t="s">
        <v>603</v>
      </c>
      <c r="B577" s="2" t="s">
        <v>15</v>
      </c>
      <c r="C577" s="2" t="s">
        <v>30</v>
      </c>
      <c r="D577" s="3">
        <v>45945</v>
      </c>
      <c r="E577" s="3">
        <v>45949</v>
      </c>
      <c r="F577" s="3">
        <v>45953</v>
      </c>
      <c r="G577" s="3">
        <v>45955</v>
      </c>
      <c r="H577" s="23" t="str">
        <f t="shared" si="8"/>
        <v>Delivered</v>
      </c>
      <c r="I577" s="2" t="s">
        <v>17</v>
      </c>
      <c r="J577" s="24" t="s">
        <v>1054</v>
      </c>
      <c r="K577" s="3">
        <v>45984</v>
      </c>
      <c r="L577" s="2">
        <v>4</v>
      </c>
      <c r="M577" s="2">
        <v>4</v>
      </c>
      <c r="N577" s="2">
        <v>2</v>
      </c>
      <c r="O577" s="36">
        <v>10</v>
      </c>
      <c r="P577" s="24" t="str" cm="1">
        <f t="array" ref="P577">_xlfn.IFS(O577&lt;=6,"Detractors",AND(O577&gt;=7,O577&lt;=8),"Passives",AND(O577&gt;8,O577&lt;=10),"Promoters",O577="Not Available","NA")</f>
        <v>Promoters</v>
      </c>
    </row>
    <row r="578" spans="1:16" ht="14.25" customHeight="1" x14ac:dyDescent="0.3">
      <c r="A578" s="2" t="s">
        <v>604</v>
      </c>
      <c r="B578" s="2" t="s">
        <v>15</v>
      </c>
      <c r="C578" s="2" t="s">
        <v>16</v>
      </c>
      <c r="D578" s="3">
        <v>45936</v>
      </c>
      <c r="E578" s="3">
        <v>45940</v>
      </c>
      <c r="F578" s="3">
        <v>45944</v>
      </c>
      <c r="G578" s="3">
        <v>45951</v>
      </c>
      <c r="H578" s="23" t="str">
        <f t="shared" si="8"/>
        <v>Delivered</v>
      </c>
      <c r="I578" s="2" t="s">
        <v>17</v>
      </c>
      <c r="J578" s="24" t="s">
        <v>1054</v>
      </c>
      <c r="K578" s="3">
        <v>45970</v>
      </c>
      <c r="L578" s="2">
        <v>4</v>
      </c>
      <c r="M578" s="2">
        <v>4</v>
      </c>
      <c r="N578" s="2">
        <v>7</v>
      </c>
      <c r="O578" s="36">
        <v>7</v>
      </c>
      <c r="P578" s="24" t="str" cm="1">
        <f t="array" ref="P578">_xlfn.IFS(O578&lt;=6,"Detractors",AND(O578&gt;=7,O578&lt;=8),"Passives",AND(O578&gt;8,O578&lt;=10),"Promoters",O578="Not Available","NA")</f>
        <v>Passives</v>
      </c>
    </row>
    <row r="579" spans="1:16" ht="14.25" customHeight="1" x14ac:dyDescent="0.3">
      <c r="A579" s="42" t="s">
        <v>605</v>
      </c>
      <c r="B579" s="2" t="s">
        <v>21</v>
      </c>
      <c r="C579" s="2" t="s">
        <v>30</v>
      </c>
      <c r="D579" s="3">
        <v>45953</v>
      </c>
      <c r="E579" s="3">
        <v>45955</v>
      </c>
      <c r="F579" s="3">
        <v>45957</v>
      </c>
      <c r="G579" s="3">
        <v>45960</v>
      </c>
      <c r="H579" s="23" t="str">
        <f t="shared" ref="H579:H642" si="9">IF(G579="", "Not Delivered", "Delivered")</f>
        <v>Delivered</v>
      </c>
      <c r="I579" s="2" t="s">
        <v>17</v>
      </c>
      <c r="J579" s="24" t="s">
        <v>1054</v>
      </c>
      <c r="K579" s="3">
        <v>45979</v>
      </c>
      <c r="L579" s="2">
        <v>2</v>
      </c>
      <c r="M579" s="2">
        <v>2</v>
      </c>
      <c r="N579" s="2">
        <v>3</v>
      </c>
      <c r="O579" s="36">
        <v>3</v>
      </c>
      <c r="P579" s="24" t="str" cm="1">
        <f t="array" ref="P579">_xlfn.IFS(O579&lt;=6,"Detractors",AND(O579&gt;=7,O579&lt;=8),"Passives",AND(O579&gt;8,O579&lt;=10),"Promoters",O579="Not Available","NA")</f>
        <v>Detractors</v>
      </c>
    </row>
    <row r="580" spans="1:16" ht="14.25" customHeight="1" x14ac:dyDescent="0.3">
      <c r="A580" s="42" t="s">
        <v>606</v>
      </c>
      <c r="B580" s="2" t="s">
        <v>32</v>
      </c>
      <c r="C580" s="2" t="s">
        <v>30</v>
      </c>
      <c r="D580" s="3">
        <v>45940</v>
      </c>
      <c r="E580" s="3">
        <v>45942</v>
      </c>
      <c r="F580" s="3">
        <v>45945</v>
      </c>
      <c r="G580" s="3">
        <v>45952</v>
      </c>
      <c r="H580" s="23" t="str">
        <f t="shared" si="9"/>
        <v>Delivered</v>
      </c>
      <c r="I580" s="2" t="s">
        <v>17</v>
      </c>
      <c r="J580" s="24" t="s">
        <v>1054</v>
      </c>
      <c r="K580" s="3">
        <v>45965</v>
      </c>
      <c r="L580" s="2">
        <v>2</v>
      </c>
      <c r="M580" s="2">
        <v>3</v>
      </c>
      <c r="N580" s="2">
        <v>7</v>
      </c>
      <c r="O580" s="36">
        <v>6</v>
      </c>
      <c r="P580" s="24" t="str" cm="1">
        <f t="array" ref="P580">_xlfn.IFS(O580&lt;=6,"Detractors",AND(O580&gt;=7,O580&lt;=8),"Passives",AND(O580&gt;8,O580&lt;=10),"Promoters",O580="Not Available","NA")</f>
        <v>Detractors</v>
      </c>
    </row>
    <row r="581" spans="1:16" ht="14.25" customHeight="1" x14ac:dyDescent="0.3">
      <c r="A581" s="42" t="s">
        <v>607</v>
      </c>
      <c r="B581" s="2" t="s">
        <v>32</v>
      </c>
      <c r="C581" s="2" t="s">
        <v>30</v>
      </c>
      <c r="D581" s="3">
        <v>45959</v>
      </c>
      <c r="E581" s="3">
        <v>45960</v>
      </c>
      <c r="F581" s="3">
        <v>45962</v>
      </c>
      <c r="G581" s="3">
        <v>45964</v>
      </c>
      <c r="H581" s="23" t="str">
        <f t="shared" si="9"/>
        <v>Delivered</v>
      </c>
      <c r="I581" s="2" t="s">
        <v>17</v>
      </c>
      <c r="J581" s="24" t="s">
        <v>1054</v>
      </c>
      <c r="K581" s="3">
        <v>45989</v>
      </c>
      <c r="L581" s="2">
        <v>1</v>
      </c>
      <c r="M581" s="2">
        <v>2</v>
      </c>
      <c r="N581" s="2">
        <v>2</v>
      </c>
      <c r="O581" s="36">
        <v>9</v>
      </c>
      <c r="P581" s="24" t="str" cm="1">
        <f t="array" ref="P581">_xlfn.IFS(O581&lt;=6,"Detractors",AND(O581&gt;=7,O581&lt;=8),"Passives",AND(O581&gt;8,O581&lt;=10),"Promoters",O581="Not Available","NA")</f>
        <v>Promoters</v>
      </c>
    </row>
    <row r="582" spans="1:16" ht="14.25" customHeight="1" x14ac:dyDescent="0.3">
      <c r="A582" s="2" t="s">
        <v>608</v>
      </c>
      <c r="B582" s="2" t="s">
        <v>21</v>
      </c>
      <c r="C582" s="2" t="s">
        <v>16</v>
      </c>
      <c r="D582" s="3">
        <v>45931</v>
      </c>
      <c r="E582" s="3">
        <v>45935</v>
      </c>
      <c r="F582" s="3">
        <v>45937</v>
      </c>
      <c r="G582" s="3">
        <v>45940</v>
      </c>
      <c r="H582" s="23" t="str">
        <f t="shared" si="9"/>
        <v>Delivered</v>
      </c>
      <c r="I582" s="2" t="s">
        <v>17</v>
      </c>
      <c r="J582" s="24" t="s">
        <v>1054</v>
      </c>
      <c r="K582" s="3">
        <v>45952</v>
      </c>
      <c r="L582" s="2">
        <v>4</v>
      </c>
      <c r="M582" s="2">
        <v>2</v>
      </c>
      <c r="N582" s="2">
        <v>3</v>
      </c>
      <c r="O582" s="36">
        <v>6</v>
      </c>
      <c r="P582" s="24" t="str" cm="1">
        <f t="array" ref="P582">_xlfn.IFS(O582&lt;=6,"Detractors",AND(O582&gt;=7,O582&lt;=8),"Passives",AND(O582&gt;8,O582&lt;=10),"Promoters",O582="Not Available","NA")</f>
        <v>Detractors</v>
      </c>
    </row>
    <row r="583" spans="1:16" ht="14.25" customHeight="1" x14ac:dyDescent="0.3">
      <c r="A583" s="2" t="s">
        <v>609</v>
      </c>
      <c r="B583" s="2" t="s">
        <v>32</v>
      </c>
      <c r="C583" s="2" t="s">
        <v>16</v>
      </c>
      <c r="D583" s="3">
        <v>45932</v>
      </c>
      <c r="E583" s="3">
        <v>45933</v>
      </c>
      <c r="F583" s="3">
        <v>45938</v>
      </c>
      <c r="G583" s="3">
        <v>45943</v>
      </c>
      <c r="H583" s="23" t="str">
        <f t="shared" si="9"/>
        <v>Delivered</v>
      </c>
      <c r="I583" s="2" t="s">
        <v>17</v>
      </c>
      <c r="J583" s="24" t="s">
        <v>1054</v>
      </c>
      <c r="K583" s="3">
        <v>45963</v>
      </c>
      <c r="L583" s="2">
        <v>1</v>
      </c>
      <c r="M583" s="2">
        <v>5</v>
      </c>
      <c r="N583" s="2">
        <v>5</v>
      </c>
      <c r="O583" s="36">
        <v>3</v>
      </c>
      <c r="P583" s="24" t="str" cm="1">
        <f t="array" ref="P583">_xlfn.IFS(O583&lt;=6,"Detractors",AND(O583&gt;=7,O583&lt;=8),"Passives",AND(O583&gt;8,O583&lt;=10),"Promoters",O583="Not Available","NA")</f>
        <v>Detractors</v>
      </c>
    </row>
    <row r="584" spans="1:16" ht="14.25" customHeight="1" x14ac:dyDescent="0.3">
      <c r="A584" s="2" t="s">
        <v>610</v>
      </c>
      <c r="B584" s="2" t="s">
        <v>32</v>
      </c>
      <c r="C584" s="2" t="s">
        <v>16</v>
      </c>
      <c r="D584" s="3">
        <v>45941</v>
      </c>
      <c r="E584" s="3">
        <v>45944</v>
      </c>
      <c r="F584" s="3">
        <v>45948</v>
      </c>
      <c r="G584" s="3">
        <v>45952</v>
      </c>
      <c r="H584" s="23" t="str">
        <f t="shared" si="9"/>
        <v>Delivered</v>
      </c>
      <c r="I584" s="2" t="s">
        <v>17</v>
      </c>
      <c r="J584" s="24" t="s">
        <v>1054</v>
      </c>
      <c r="K584" s="3">
        <v>45970</v>
      </c>
      <c r="L584" s="2">
        <v>3</v>
      </c>
      <c r="M584" s="2">
        <v>4</v>
      </c>
      <c r="N584" s="2">
        <v>4</v>
      </c>
      <c r="O584" s="36">
        <v>1</v>
      </c>
      <c r="P584" s="24" t="str" cm="1">
        <f t="array" ref="P584">_xlfn.IFS(O584&lt;=6,"Detractors",AND(O584&gt;=7,O584&lt;=8),"Passives",AND(O584&gt;8,O584&lt;=10),"Promoters",O584="Not Available","NA")</f>
        <v>Detractors</v>
      </c>
    </row>
    <row r="585" spans="1:16" ht="14.25" customHeight="1" x14ac:dyDescent="0.3">
      <c r="A585" s="2" t="s">
        <v>611</v>
      </c>
      <c r="B585" s="2" t="s">
        <v>32</v>
      </c>
      <c r="C585" s="2" t="s">
        <v>16</v>
      </c>
      <c r="D585" s="3">
        <v>45956</v>
      </c>
      <c r="E585" s="3">
        <v>45958</v>
      </c>
      <c r="F585" s="3">
        <v>45960</v>
      </c>
      <c r="G585" s="3">
        <v>45966</v>
      </c>
      <c r="H585" s="23" t="str">
        <f t="shared" si="9"/>
        <v>Delivered</v>
      </c>
      <c r="I585" s="2" t="s">
        <v>17</v>
      </c>
      <c r="J585" s="24" t="s">
        <v>1054</v>
      </c>
      <c r="K585" s="3">
        <v>45996</v>
      </c>
      <c r="L585" s="2">
        <v>2</v>
      </c>
      <c r="M585" s="2">
        <v>2</v>
      </c>
      <c r="N585" s="2">
        <v>6</v>
      </c>
      <c r="O585" s="36">
        <v>5</v>
      </c>
      <c r="P585" s="24" t="str" cm="1">
        <f t="array" ref="P585">_xlfn.IFS(O585&lt;=6,"Detractors",AND(O585&gt;=7,O585&lt;=8),"Passives",AND(O585&gt;8,O585&lt;=10),"Promoters",O585="Not Available","NA")</f>
        <v>Detractors</v>
      </c>
    </row>
    <row r="586" spans="1:16" ht="14.25" customHeight="1" x14ac:dyDescent="0.3">
      <c r="A586" s="2" t="s">
        <v>612</v>
      </c>
      <c r="B586" s="2" t="s">
        <v>32</v>
      </c>
      <c r="C586" s="2" t="s">
        <v>16</v>
      </c>
      <c r="D586" s="3">
        <v>45932</v>
      </c>
      <c r="E586" s="3">
        <v>45933</v>
      </c>
      <c r="F586" s="3">
        <v>45938</v>
      </c>
      <c r="G586" s="3">
        <v>45944</v>
      </c>
      <c r="H586" s="23" t="str">
        <f t="shared" si="9"/>
        <v>Delivered</v>
      </c>
      <c r="I586" s="2" t="s">
        <v>23</v>
      </c>
      <c r="J586" s="2" t="s">
        <v>33</v>
      </c>
      <c r="L586" s="2">
        <v>1</v>
      </c>
      <c r="M586" s="2">
        <v>5</v>
      </c>
      <c r="N586" s="2">
        <v>6</v>
      </c>
      <c r="O586" t="s">
        <v>1080</v>
      </c>
      <c r="P586" s="24" t="str" cm="1">
        <f t="array" ref="P586">_xlfn.IFS(O586&lt;=6,"Detractors",AND(O586&gt;=7,O586&lt;=8),"Passives",AND(O586&gt;8,O586&lt;=10),"Promoters",O586="Not Available","NA")</f>
        <v>NA</v>
      </c>
    </row>
    <row r="587" spans="1:16" ht="14.25" customHeight="1" x14ac:dyDescent="0.3">
      <c r="A587" s="42" t="s">
        <v>613</v>
      </c>
      <c r="B587" s="2" t="s">
        <v>32</v>
      </c>
      <c r="C587" s="2" t="s">
        <v>30</v>
      </c>
      <c r="D587" s="3">
        <v>45940</v>
      </c>
      <c r="E587" s="3">
        <v>45942</v>
      </c>
      <c r="F587" s="3">
        <v>45943</v>
      </c>
      <c r="G587" s="3">
        <v>45950</v>
      </c>
      <c r="H587" s="23" t="str">
        <f t="shared" si="9"/>
        <v>Delivered</v>
      </c>
      <c r="I587" s="2" t="s">
        <v>17</v>
      </c>
      <c r="J587" s="24" t="s">
        <v>1054</v>
      </c>
      <c r="K587" s="3">
        <v>45970</v>
      </c>
      <c r="L587" s="2">
        <v>2</v>
      </c>
      <c r="M587" s="2">
        <v>1</v>
      </c>
      <c r="N587" s="2">
        <v>7</v>
      </c>
      <c r="O587" s="36">
        <v>5</v>
      </c>
      <c r="P587" s="24" t="str" cm="1">
        <f t="array" ref="P587">_xlfn.IFS(O587&lt;=6,"Detractors",AND(O587&gt;=7,O587&lt;=8),"Passives",AND(O587&gt;8,O587&lt;=10),"Promoters",O587="Not Available","NA")</f>
        <v>Detractors</v>
      </c>
    </row>
    <row r="588" spans="1:16" ht="14.25" customHeight="1" x14ac:dyDescent="0.3">
      <c r="A588" s="2" t="s">
        <v>614</v>
      </c>
      <c r="B588" s="2" t="s">
        <v>15</v>
      </c>
      <c r="C588" s="2" t="s">
        <v>16</v>
      </c>
      <c r="D588" s="3">
        <v>45942</v>
      </c>
      <c r="E588" s="3">
        <v>45943</v>
      </c>
      <c r="F588" s="3">
        <v>45948</v>
      </c>
      <c r="G588" s="3">
        <v>45952</v>
      </c>
      <c r="H588" s="23" t="str">
        <f t="shared" si="9"/>
        <v>Delivered</v>
      </c>
      <c r="I588" s="2" t="s">
        <v>17</v>
      </c>
      <c r="J588" s="24" t="s">
        <v>1054</v>
      </c>
      <c r="K588" s="3">
        <v>45970</v>
      </c>
      <c r="L588" s="2">
        <v>1</v>
      </c>
      <c r="M588" s="2">
        <v>5</v>
      </c>
      <c r="N588" s="2">
        <v>4</v>
      </c>
      <c r="O588" s="36">
        <v>8</v>
      </c>
      <c r="P588" s="24" t="str" cm="1">
        <f t="array" ref="P588">_xlfn.IFS(O588&lt;=6,"Detractors",AND(O588&gt;=7,O588&lt;=8),"Passives",AND(O588&gt;8,O588&lt;=10),"Promoters",O588="Not Available","NA")</f>
        <v>Passives</v>
      </c>
    </row>
    <row r="589" spans="1:16" ht="14.25" customHeight="1" x14ac:dyDescent="0.3">
      <c r="A589" s="2" t="s">
        <v>615</v>
      </c>
      <c r="B589" s="2" t="s">
        <v>32</v>
      </c>
      <c r="C589" s="2" t="s">
        <v>22</v>
      </c>
      <c r="D589" s="3">
        <v>45942</v>
      </c>
      <c r="H589" s="23" t="str">
        <f t="shared" si="9"/>
        <v>Not Delivered</v>
      </c>
      <c r="I589" s="2" t="s">
        <v>23</v>
      </c>
      <c r="J589" s="2" t="s">
        <v>33</v>
      </c>
      <c r="L589">
        <v>0</v>
      </c>
      <c r="M589">
        <v>0</v>
      </c>
      <c r="N589">
        <v>0</v>
      </c>
      <c r="O589" t="s">
        <v>1080</v>
      </c>
      <c r="P589" s="24" t="str" cm="1">
        <f t="array" ref="P589">_xlfn.IFS(O589&lt;=6,"Detractors",AND(O589&gt;=7,O589&lt;=8),"Passives",AND(O589&gt;8,O589&lt;=10),"Promoters",O589="Not Available","NA")</f>
        <v>NA</v>
      </c>
    </row>
    <row r="590" spans="1:16" ht="14.25" customHeight="1" x14ac:dyDescent="0.3">
      <c r="A590" s="2" t="s">
        <v>616</v>
      </c>
      <c r="B590" s="2" t="s">
        <v>15</v>
      </c>
      <c r="C590" s="2" t="s">
        <v>16</v>
      </c>
      <c r="D590" s="3">
        <v>45944</v>
      </c>
      <c r="E590" s="3">
        <v>45947</v>
      </c>
      <c r="F590" s="3">
        <v>45948</v>
      </c>
      <c r="G590" s="3">
        <v>45951</v>
      </c>
      <c r="H590" s="23" t="str">
        <f t="shared" si="9"/>
        <v>Delivered</v>
      </c>
      <c r="I590" s="2" t="s">
        <v>23</v>
      </c>
      <c r="J590" s="2" t="s">
        <v>101</v>
      </c>
      <c r="L590" s="2">
        <v>3</v>
      </c>
      <c r="M590" s="2">
        <v>1</v>
      </c>
      <c r="N590" s="2">
        <v>3</v>
      </c>
      <c r="O590" t="s">
        <v>1080</v>
      </c>
      <c r="P590" s="24" t="str" cm="1">
        <f t="array" ref="P590">_xlfn.IFS(O590&lt;=6,"Detractors",AND(O590&gt;=7,O590&lt;=8),"Passives",AND(O590&gt;8,O590&lt;=10),"Promoters",O590="Not Available","NA")</f>
        <v>NA</v>
      </c>
    </row>
    <row r="591" spans="1:16" ht="14.25" customHeight="1" x14ac:dyDescent="0.3">
      <c r="A591" s="2" t="s">
        <v>617</v>
      </c>
      <c r="B591" s="2" t="s">
        <v>32</v>
      </c>
      <c r="C591" s="2" t="s">
        <v>16</v>
      </c>
      <c r="D591" s="3">
        <v>45935</v>
      </c>
      <c r="E591" s="3">
        <v>45938</v>
      </c>
      <c r="F591" s="3">
        <v>45939</v>
      </c>
      <c r="G591" s="3">
        <v>45943</v>
      </c>
      <c r="H591" s="23" t="str">
        <f t="shared" si="9"/>
        <v>Delivered</v>
      </c>
      <c r="I591" s="2" t="s">
        <v>17</v>
      </c>
      <c r="J591" s="24" t="s">
        <v>1054</v>
      </c>
      <c r="K591" s="3">
        <v>45961</v>
      </c>
      <c r="L591" s="2">
        <v>3</v>
      </c>
      <c r="M591" s="2">
        <v>1</v>
      </c>
      <c r="N591" s="2">
        <v>4</v>
      </c>
      <c r="O591" s="36">
        <v>9</v>
      </c>
      <c r="P591" s="24" t="str" cm="1">
        <f t="array" ref="P591">_xlfn.IFS(O591&lt;=6,"Detractors",AND(O591&gt;=7,O591&lt;=8),"Passives",AND(O591&gt;8,O591&lt;=10),"Promoters",O591="Not Available","NA")</f>
        <v>Promoters</v>
      </c>
    </row>
    <row r="592" spans="1:16" ht="14.25" customHeight="1" x14ac:dyDescent="0.3">
      <c r="A592" s="2" t="s">
        <v>618</v>
      </c>
      <c r="B592" s="2" t="s">
        <v>21</v>
      </c>
      <c r="C592" s="2" t="s">
        <v>22</v>
      </c>
      <c r="D592" s="3">
        <v>45938</v>
      </c>
      <c r="H592" s="23" t="str">
        <f t="shared" si="9"/>
        <v>Not Delivered</v>
      </c>
      <c r="I592" s="2" t="s">
        <v>23</v>
      </c>
      <c r="J592" s="2" t="s">
        <v>63</v>
      </c>
      <c r="L592">
        <v>0</v>
      </c>
      <c r="M592">
        <v>0</v>
      </c>
      <c r="N592">
        <v>0</v>
      </c>
      <c r="O592" t="s">
        <v>1080</v>
      </c>
      <c r="P592" s="24" t="str" cm="1">
        <f t="array" ref="P592">_xlfn.IFS(O592&lt;=6,"Detractors",AND(O592&gt;=7,O592&lt;=8),"Passives",AND(O592&gt;8,O592&lt;=10),"Promoters",O592="Not Available","NA")</f>
        <v>NA</v>
      </c>
    </row>
    <row r="593" spans="1:16" ht="14.25" customHeight="1" x14ac:dyDescent="0.3">
      <c r="A593" s="2" t="s">
        <v>619</v>
      </c>
      <c r="B593" s="2" t="s">
        <v>19</v>
      </c>
      <c r="C593" s="2" t="s">
        <v>16</v>
      </c>
      <c r="D593" s="3">
        <v>45947</v>
      </c>
      <c r="E593" s="3">
        <v>45952</v>
      </c>
      <c r="F593" s="3">
        <v>45953</v>
      </c>
      <c r="G593" s="3">
        <v>45956</v>
      </c>
      <c r="H593" s="23" t="str">
        <f t="shared" si="9"/>
        <v>Delivered</v>
      </c>
      <c r="I593" s="2" t="s">
        <v>17</v>
      </c>
      <c r="J593" s="24" t="s">
        <v>1054</v>
      </c>
      <c r="K593" s="3">
        <v>45986</v>
      </c>
      <c r="L593" s="2">
        <v>5</v>
      </c>
      <c r="M593" s="2">
        <v>1</v>
      </c>
      <c r="N593" s="2">
        <v>3</v>
      </c>
      <c r="O593" s="36">
        <v>0</v>
      </c>
      <c r="P593" s="24" t="str" cm="1">
        <f t="array" ref="P593">_xlfn.IFS(O593&lt;=6,"Detractors",AND(O593&gt;=7,O593&lt;=8),"Passives",AND(O593&gt;8,O593&lt;=10),"Promoters",O593="Not Available","NA")</f>
        <v>Detractors</v>
      </c>
    </row>
    <row r="594" spans="1:16" ht="14.25" customHeight="1" x14ac:dyDescent="0.3">
      <c r="A594" s="2" t="s">
        <v>620</v>
      </c>
      <c r="B594" s="2" t="s">
        <v>15</v>
      </c>
      <c r="C594" s="2" t="s">
        <v>30</v>
      </c>
      <c r="D594" s="3">
        <v>45944</v>
      </c>
      <c r="E594" s="3">
        <v>45948</v>
      </c>
      <c r="F594" s="3">
        <v>45949</v>
      </c>
      <c r="G594" s="3">
        <v>45956</v>
      </c>
      <c r="H594" s="23" t="str">
        <f t="shared" si="9"/>
        <v>Delivered</v>
      </c>
      <c r="I594" s="2" t="s">
        <v>23</v>
      </c>
      <c r="J594" s="2" t="s">
        <v>24</v>
      </c>
      <c r="L594" s="2">
        <v>4</v>
      </c>
      <c r="M594" s="2">
        <v>1</v>
      </c>
      <c r="N594" s="2">
        <v>7</v>
      </c>
      <c r="O594" s="36" t="s">
        <v>1080</v>
      </c>
      <c r="P594" s="24" t="str" cm="1">
        <f t="array" ref="P594">_xlfn.IFS(O594&lt;=6,"Detractors",AND(O594&gt;=7,O594&lt;=8),"Passives",AND(O594&gt;8,O594&lt;=10),"Promoters",O594="Not Available","NA")</f>
        <v>NA</v>
      </c>
    </row>
    <row r="595" spans="1:16" ht="14.25" customHeight="1" x14ac:dyDescent="0.3">
      <c r="A595" s="2" t="s">
        <v>621</v>
      </c>
      <c r="B595" s="2" t="s">
        <v>32</v>
      </c>
      <c r="C595" s="2" t="s">
        <v>16</v>
      </c>
      <c r="D595" s="3">
        <v>45949</v>
      </c>
      <c r="E595" s="3">
        <v>45954</v>
      </c>
      <c r="F595" s="3">
        <v>45958</v>
      </c>
      <c r="G595" s="3">
        <v>45962</v>
      </c>
      <c r="H595" s="23" t="str">
        <f t="shared" si="9"/>
        <v>Delivered</v>
      </c>
      <c r="I595" s="2" t="s">
        <v>17</v>
      </c>
      <c r="J595" s="24" t="s">
        <v>1054</v>
      </c>
      <c r="K595" s="3">
        <v>45992</v>
      </c>
      <c r="L595" s="2">
        <v>5</v>
      </c>
      <c r="M595" s="2">
        <v>4</v>
      </c>
      <c r="N595" s="2">
        <v>4</v>
      </c>
      <c r="O595" s="36">
        <v>7</v>
      </c>
      <c r="P595" s="24" t="str" cm="1">
        <f t="array" ref="P595">_xlfn.IFS(O595&lt;=6,"Detractors",AND(O595&gt;=7,O595&lt;=8),"Passives",AND(O595&gt;8,O595&lt;=10),"Promoters",O595="Not Available","NA")</f>
        <v>Passives</v>
      </c>
    </row>
    <row r="596" spans="1:16" ht="14.25" customHeight="1" x14ac:dyDescent="0.3">
      <c r="A596" s="2" t="s">
        <v>622</v>
      </c>
      <c r="B596" s="2" t="s">
        <v>21</v>
      </c>
      <c r="C596" s="2" t="s">
        <v>16</v>
      </c>
      <c r="D596" s="3">
        <v>45952</v>
      </c>
      <c r="E596" s="3">
        <v>45956</v>
      </c>
      <c r="F596" s="3">
        <v>45958</v>
      </c>
      <c r="G596" s="3">
        <v>45965</v>
      </c>
      <c r="H596" s="23" t="str">
        <f t="shared" si="9"/>
        <v>Delivered</v>
      </c>
      <c r="I596" s="2" t="s">
        <v>17</v>
      </c>
      <c r="J596" s="24" t="s">
        <v>1054</v>
      </c>
      <c r="K596" s="3">
        <v>45984</v>
      </c>
      <c r="L596" s="2">
        <v>4</v>
      </c>
      <c r="M596" s="2">
        <v>2</v>
      </c>
      <c r="N596" s="2">
        <v>7</v>
      </c>
      <c r="O596" s="36">
        <v>2</v>
      </c>
      <c r="P596" s="24" t="str" cm="1">
        <f t="array" ref="P596">_xlfn.IFS(O596&lt;=6,"Detractors",AND(O596&gt;=7,O596&lt;=8),"Passives",AND(O596&gt;8,O596&lt;=10),"Promoters",O596="Not Available","NA")</f>
        <v>Detractors</v>
      </c>
    </row>
    <row r="597" spans="1:16" ht="14.25" customHeight="1" x14ac:dyDescent="0.3">
      <c r="A597" s="2" t="s">
        <v>623</v>
      </c>
      <c r="B597" s="2" t="s">
        <v>19</v>
      </c>
      <c r="C597" s="2" t="s">
        <v>16</v>
      </c>
      <c r="D597" s="3">
        <v>45956</v>
      </c>
      <c r="E597" s="3">
        <v>45959</v>
      </c>
      <c r="F597" s="3">
        <v>45961</v>
      </c>
      <c r="G597" s="3">
        <v>45963</v>
      </c>
      <c r="H597" s="23" t="str">
        <f t="shared" si="9"/>
        <v>Delivered</v>
      </c>
      <c r="I597" s="2" t="s">
        <v>17</v>
      </c>
      <c r="J597" s="24" t="s">
        <v>1054</v>
      </c>
      <c r="K597" s="3">
        <v>45979</v>
      </c>
      <c r="L597" s="2">
        <v>3</v>
      </c>
      <c r="M597" s="2">
        <v>2</v>
      </c>
      <c r="N597" s="2">
        <v>2</v>
      </c>
      <c r="O597" s="36">
        <v>8</v>
      </c>
      <c r="P597" s="24" t="str" cm="1">
        <f t="array" ref="P597">_xlfn.IFS(O597&lt;=6,"Detractors",AND(O597&gt;=7,O597&lt;=8),"Passives",AND(O597&gt;8,O597&lt;=10),"Promoters",O597="Not Available","NA")</f>
        <v>Passives</v>
      </c>
    </row>
    <row r="598" spans="1:16" ht="14.25" customHeight="1" x14ac:dyDescent="0.3">
      <c r="A598" s="2" t="s">
        <v>624</v>
      </c>
      <c r="B598" s="2" t="s">
        <v>15</v>
      </c>
      <c r="C598" s="2" t="s">
        <v>16</v>
      </c>
      <c r="D598" s="3">
        <v>45936</v>
      </c>
      <c r="E598" s="3">
        <v>45937</v>
      </c>
      <c r="F598" s="3">
        <v>45938</v>
      </c>
      <c r="G598" s="3">
        <v>45940</v>
      </c>
      <c r="H598" s="23" t="str">
        <f t="shared" si="9"/>
        <v>Delivered</v>
      </c>
      <c r="I598" s="2" t="s">
        <v>23</v>
      </c>
      <c r="J598" s="2" t="s">
        <v>24</v>
      </c>
      <c r="L598" s="2">
        <v>1</v>
      </c>
      <c r="M598" s="2">
        <v>1</v>
      </c>
      <c r="N598" s="2">
        <v>2</v>
      </c>
      <c r="O598" t="s">
        <v>1080</v>
      </c>
      <c r="P598" s="24" t="str" cm="1">
        <f t="array" ref="P598">_xlfn.IFS(O598&lt;=6,"Detractors",AND(O598&gt;=7,O598&lt;=8),"Passives",AND(O598&gt;8,O598&lt;=10),"Promoters",O598="Not Available","NA")</f>
        <v>NA</v>
      </c>
    </row>
    <row r="599" spans="1:16" ht="14.25" customHeight="1" x14ac:dyDescent="0.3">
      <c r="A599" s="2" t="s">
        <v>625</v>
      </c>
      <c r="B599" s="2" t="s">
        <v>19</v>
      </c>
      <c r="C599" s="2" t="s">
        <v>16</v>
      </c>
      <c r="D599" s="3">
        <v>45936</v>
      </c>
      <c r="E599" s="3">
        <v>45938</v>
      </c>
      <c r="F599" s="3">
        <v>45940</v>
      </c>
      <c r="G599" s="3">
        <v>45944</v>
      </c>
      <c r="H599" s="23" t="str">
        <f t="shared" si="9"/>
        <v>Delivered</v>
      </c>
      <c r="I599" s="2" t="s">
        <v>17</v>
      </c>
      <c r="J599" s="24" t="s">
        <v>1054</v>
      </c>
      <c r="K599" s="3">
        <v>45958</v>
      </c>
      <c r="L599" s="2">
        <v>2</v>
      </c>
      <c r="M599" s="2">
        <v>2</v>
      </c>
      <c r="N599" s="2">
        <v>4</v>
      </c>
      <c r="O599" s="36">
        <v>3</v>
      </c>
      <c r="P599" s="24" t="str" cm="1">
        <f t="array" ref="P599">_xlfn.IFS(O599&lt;=6,"Detractors",AND(O599&gt;=7,O599&lt;=8),"Passives",AND(O599&gt;8,O599&lt;=10),"Promoters",O599="Not Available","NA")</f>
        <v>Detractors</v>
      </c>
    </row>
    <row r="600" spans="1:16" ht="14.25" customHeight="1" x14ac:dyDescent="0.3">
      <c r="A600" s="2" t="s">
        <v>626</v>
      </c>
      <c r="B600" s="2" t="s">
        <v>21</v>
      </c>
      <c r="C600" s="2" t="s">
        <v>16</v>
      </c>
      <c r="D600" s="3">
        <v>45936</v>
      </c>
      <c r="E600" s="3">
        <v>45939</v>
      </c>
      <c r="F600" s="3">
        <v>45940</v>
      </c>
      <c r="G600" s="3">
        <v>45945</v>
      </c>
      <c r="H600" s="23" t="str">
        <f t="shared" si="9"/>
        <v>Delivered</v>
      </c>
      <c r="I600" s="2" t="s">
        <v>17</v>
      </c>
      <c r="J600" s="24" t="s">
        <v>1054</v>
      </c>
      <c r="K600" s="3">
        <v>45971</v>
      </c>
      <c r="L600" s="2">
        <v>3</v>
      </c>
      <c r="M600" s="2">
        <v>1</v>
      </c>
      <c r="N600" s="2">
        <v>5</v>
      </c>
      <c r="O600" s="36">
        <v>1</v>
      </c>
      <c r="P600" s="24" t="str" cm="1">
        <f t="array" ref="P600">_xlfn.IFS(O600&lt;=6,"Detractors",AND(O600&gt;=7,O600&lt;=8),"Passives",AND(O600&gt;8,O600&lt;=10),"Promoters",O600="Not Available","NA")</f>
        <v>Detractors</v>
      </c>
    </row>
    <row r="601" spans="1:16" ht="14.25" customHeight="1" x14ac:dyDescent="0.3">
      <c r="A601" s="2" t="s">
        <v>627</v>
      </c>
      <c r="B601" s="2" t="s">
        <v>15</v>
      </c>
      <c r="C601" s="2" t="s">
        <v>16</v>
      </c>
      <c r="D601" s="3">
        <v>45933</v>
      </c>
      <c r="E601" s="3">
        <v>45936</v>
      </c>
      <c r="F601" s="3">
        <v>45938</v>
      </c>
      <c r="G601" s="3">
        <v>45942</v>
      </c>
      <c r="H601" s="23" t="str">
        <f t="shared" si="9"/>
        <v>Delivered</v>
      </c>
      <c r="I601" s="2" t="s">
        <v>17</v>
      </c>
      <c r="J601" s="24" t="s">
        <v>1054</v>
      </c>
      <c r="K601" s="3">
        <v>45959</v>
      </c>
      <c r="L601" s="2">
        <v>3</v>
      </c>
      <c r="M601" s="2">
        <v>2</v>
      </c>
      <c r="N601" s="2">
        <v>4</v>
      </c>
      <c r="O601" s="36">
        <v>4</v>
      </c>
      <c r="P601" s="24" t="str" cm="1">
        <f t="array" ref="P601">_xlfn.IFS(O601&lt;=6,"Detractors",AND(O601&gt;=7,O601&lt;=8),"Passives",AND(O601&gt;8,O601&lt;=10),"Promoters",O601="Not Available","NA")</f>
        <v>Detractors</v>
      </c>
    </row>
    <row r="602" spans="1:16" ht="14.25" customHeight="1" x14ac:dyDescent="0.3">
      <c r="A602" s="2" t="s">
        <v>628</v>
      </c>
      <c r="B602" s="2" t="s">
        <v>19</v>
      </c>
      <c r="C602" s="2" t="s">
        <v>22</v>
      </c>
      <c r="D602" s="3">
        <v>45950</v>
      </c>
      <c r="H602" s="23" t="str">
        <f t="shared" si="9"/>
        <v>Not Delivered</v>
      </c>
      <c r="I602" s="2" t="s">
        <v>23</v>
      </c>
      <c r="J602" s="2" t="s">
        <v>101</v>
      </c>
      <c r="L602">
        <v>0</v>
      </c>
      <c r="M602">
        <v>0</v>
      </c>
      <c r="N602">
        <v>0</v>
      </c>
      <c r="O602" t="s">
        <v>1080</v>
      </c>
      <c r="P602" s="24" t="str" cm="1">
        <f t="array" ref="P602">_xlfn.IFS(O602&lt;=6,"Detractors",AND(O602&gt;=7,O602&lt;=8),"Passives",AND(O602&gt;8,O602&lt;=10),"Promoters",O602="Not Available","NA")</f>
        <v>NA</v>
      </c>
    </row>
    <row r="603" spans="1:16" ht="14.25" customHeight="1" x14ac:dyDescent="0.3">
      <c r="A603" s="2" t="s">
        <v>629</v>
      </c>
      <c r="B603" s="2" t="s">
        <v>32</v>
      </c>
      <c r="C603" s="2" t="s">
        <v>16</v>
      </c>
      <c r="D603" s="3">
        <v>45958</v>
      </c>
      <c r="E603" s="3">
        <v>45959</v>
      </c>
      <c r="F603" s="3">
        <v>45964</v>
      </c>
      <c r="G603" s="3">
        <v>45970</v>
      </c>
      <c r="H603" s="23" t="str">
        <f t="shared" si="9"/>
        <v>Delivered</v>
      </c>
      <c r="I603" s="2" t="s">
        <v>17</v>
      </c>
      <c r="J603" s="24" t="s">
        <v>1054</v>
      </c>
      <c r="K603" s="3">
        <v>45981</v>
      </c>
      <c r="L603" s="2">
        <v>1</v>
      </c>
      <c r="M603" s="2">
        <v>5</v>
      </c>
      <c r="N603" s="2">
        <v>6</v>
      </c>
      <c r="O603" s="36">
        <v>3</v>
      </c>
      <c r="P603" s="24" t="str" cm="1">
        <f t="array" ref="P603">_xlfn.IFS(O603&lt;=6,"Detractors",AND(O603&gt;=7,O603&lt;=8),"Passives",AND(O603&gt;8,O603&lt;=10),"Promoters",O603="Not Available","NA")</f>
        <v>Detractors</v>
      </c>
    </row>
    <row r="604" spans="1:16" ht="14.25" customHeight="1" x14ac:dyDescent="0.3">
      <c r="A604" s="42" t="s">
        <v>630</v>
      </c>
      <c r="B604" s="2" t="s">
        <v>15</v>
      </c>
      <c r="C604" s="2" t="s">
        <v>30</v>
      </c>
      <c r="D604" s="3">
        <v>45943</v>
      </c>
      <c r="E604" s="3">
        <v>45946</v>
      </c>
      <c r="F604" s="3">
        <v>45950</v>
      </c>
      <c r="G604" s="3">
        <v>45952</v>
      </c>
      <c r="H604" s="23" t="str">
        <f t="shared" si="9"/>
        <v>Delivered</v>
      </c>
      <c r="I604" s="2" t="s">
        <v>17</v>
      </c>
      <c r="J604" s="24" t="s">
        <v>1054</v>
      </c>
      <c r="K604" s="3">
        <v>45981</v>
      </c>
      <c r="L604" s="2">
        <v>3</v>
      </c>
      <c r="M604" s="2">
        <v>4</v>
      </c>
      <c r="N604" s="2">
        <v>2</v>
      </c>
      <c r="O604" s="36">
        <v>8</v>
      </c>
      <c r="P604" s="24" t="str" cm="1">
        <f t="array" ref="P604">_xlfn.IFS(O604&lt;=6,"Detractors",AND(O604&gt;=7,O604&lt;=8),"Passives",AND(O604&gt;8,O604&lt;=10),"Promoters",O604="Not Available","NA")</f>
        <v>Passives</v>
      </c>
    </row>
    <row r="605" spans="1:16" ht="14.25" customHeight="1" x14ac:dyDescent="0.3">
      <c r="A605" s="2" t="s">
        <v>631</v>
      </c>
      <c r="B605" s="2" t="s">
        <v>19</v>
      </c>
      <c r="C605" s="2" t="s">
        <v>16</v>
      </c>
      <c r="D605" s="3">
        <v>45950</v>
      </c>
      <c r="E605" s="3">
        <v>45953</v>
      </c>
      <c r="F605" s="3">
        <v>45956</v>
      </c>
      <c r="G605" s="3">
        <v>45960</v>
      </c>
      <c r="H605" s="23" t="str">
        <f t="shared" si="9"/>
        <v>Delivered</v>
      </c>
      <c r="I605" s="2" t="s">
        <v>17</v>
      </c>
      <c r="J605" s="24" t="s">
        <v>1054</v>
      </c>
      <c r="K605" s="3">
        <v>45982</v>
      </c>
      <c r="L605" s="2">
        <v>3</v>
      </c>
      <c r="M605" s="2">
        <v>3</v>
      </c>
      <c r="N605" s="2">
        <v>4</v>
      </c>
      <c r="O605" s="36">
        <v>6</v>
      </c>
      <c r="P605" s="24" t="str" cm="1">
        <f t="array" ref="P605">_xlfn.IFS(O605&lt;=6,"Detractors",AND(O605&gt;=7,O605&lt;=8),"Passives",AND(O605&gt;8,O605&lt;=10),"Promoters",O605="Not Available","NA")</f>
        <v>Detractors</v>
      </c>
    </row>
    <row r="606" spans="1:16" ht="14.25" customHeight="1" x14ac:dyDescent="0.3">
      <c r="A606" s="42" t="s">
        <v>632</v>
      </c>
      <c r="B606" s="2" t="s">
        <v>21</v>
      </c>
      <c r="C606" s="2" t="s">
        <v>30</v>
      </c>
      <c r="D606" s="3">
        <v>45952</v>
      </c>
      <c r="E606" s="3">
        <v>45953</v>
      </c>
      <c r="F606" s="3">
        <v>45954</v>
      </c>
      <c r="G606" s="3">
        <v>45961</v>
      </c>
      <c r="H606" s="23" t="str">
        <f t="shared" si="9"/>
        <v>Delivered</v>
      </c>
      <c r="I606" s="2" t="s">
        <v>17</v>
      </c>
      <c r="J606" s="24" t="s">
        <v>1054</v>
      </c>
      <c r="K606" s="3">
        <v>45981</v>
      </c>
      <c r="L606" s="2">
        <v>1</v>
      </c>
      <c r="M606" s="2">
        <v>1</v>
      </c>
      <c r="N606" s="2">
        <v>7</v>
      </c>
      <c r="O606" s="36">
        <v>9</v>
      </c>
      <c r="P606" s="24" t="str" cm="1">
        <f t="array" ref="P606">_xlfn.IFS(O606&lt;=6,"Detractors",AND(O606&gt;=7,O606&lt;=8),"Passives",AND(O606&gt;8,O606&lt;=10),"Promoters",O606="Not Available","NA")</f>
        <v>Promoters</v>
      </c>
    </row>
    <row r="607" spans="1:16" ht="14.25" customHeight="1" x14ac:dyDescent="0.3">
      <c r="A607" s="2" t="s">
        <v>633</v>
      </c>
      <c r="B607" s="2" t="s">
        <v>21</v>
      </c>
      <c r="C607" s="2" t="s">
        <v>16</v>
      </c>
      <c r="D607" s="3">
        <v>45938</v>
      </c>
      <c r="E607" s="3">
        <v>45941</v>
      </c>
      <c r="F607" s="3">
        <v>45946</v>
      </c>
      <c r="G607" s="3">
        <v>45952</v>
      </c>
      <c r="H607" s="23" t="str">
        <f t="shared" si="9"/>
        <v>Delivered</v>
      </c>
      <c r="I607" s="2" t="s">
        <v>17</v>
      </c>
      <c r="J607" s="24" t="s">
        <v>1054</v>
      </c>
      <c r="K607" s="3">
        <v>45966</v>
      </c>
      <c r="L607" s="2">
        <v>3</v>
      </c>
      <c r="M607" s="2">
        <v>5</v>
      </c>
      <c r="N607" s="2">
        <v>6</v>
      </c>
      <c r="O607" s="36">
        <v>3</v>
      </c>
      <c r="P607" s="24" t="str" cm="1">
        <f t="array" ref="P607">_xlfn.IFS(O607&lt;=6,"Detractors",AND(O607&gt;=7,O607&lt;=8),"Passives",AND(O607&gt;8,O607&lt;=10),"Promoters",O607="Not Available","NA")</f>
        <v>Detractors</v>
      </c>
    </row>
    <row r="608" spans="1:16" ht="14.25" customHeight="1" x14ac:dyDescent="0.3">
      <c r="A608" s="2" t="s">
        <v>634</v>
      </c>
      <c r="B608" s="2" t="s">
        <v>15</v>
      </c>
      <c r="C608" s="2" t="s">
        <v>16</v>
      </c>
      <c r="D608" s="3">
        <v>45946</v>
      </c>
      <c r="E608" s="3">
        <v>45950</v>
      </c>
      <c r="F608" s="3">
        <v>45955</v>
      </c>
      <c r="G608" s="3">
        <v>45962</v>
      </c>
      <c r="H608" s="23" t="str">
        <f t="shared" si="9"/>
        <v>Delivered</v>
      </c>
      <c r="I608" s="2" t="s">
        <v>17</v>
      </c>
      <c r="J608" s="24" t="s">
        <v>1054</v>
      </c>
      <c r="K608" s="3">
        <v>45972</v>
      </c>
      <c r="L608" s="2">
        <v>4</v>
      </c>
      <c r="M608" s="2">
        <v>5</v>
      </c>
      <c r="N608" s="2">
        <v>7</v>
      </c>
      <c r="O608" s="36">
        <v>2</v>
      </c>
      <c r="P608" s="24" t="str" cm="1">
        <f t="array" ref="P608">_xlfn.IFS(O608&lt;=6,"Detractors",AND(O608&gt;=7,O608&lt;=8),"Passives",AND(O608&gt;8,O608&lt;=10),"Promoters",O608="Not Available","NA")</f>
        <v>Detractors</v>
      </c>
    </row>
    <row r="609" spans="1:16" ht="14.25" customHeight="1" x14ac:dyDescent="0.3">
      <c r="A609" s="42" t="s">
        <v>635</v>
      </c>
      <c r="B609" s="2" t="s">
        <v>19</v>
      </c>
      <c r="C609" s="2" t="s">
        <v>30</v>
      </c>
      <c r="D609" s="3">
        <v>45960</v>
      </c>
      <c r="E609" s="3">
        <v>45964</v>
      </c>
      <c r="F609" s="3">
        <v>45968</v>
      </c>
      <c r="G609" s="3">
        <v>45970</v>
      </c>
      <c r="H609" s="23" t="str">
        <f t="shared" si="9"/>
        <v>Delivered</v>
      </c>
      <c r="I609" s="2" t="s">
        <v>17</v>
      </c>
      <c r="J609" s="24" t="s">
        <v>1054</v>
      </c>
      <c r="K609" s="3">
        <v>46000</v>
      </c>
      <c r="L609" s="2">
        <v>4</v>
      </c>
      <c r="M609" s="2">
        <v>4</v>
      </c>
      <c r="N609" s="2">
        <v>2</v>
      </c>
      <c r="O609" s="36">
        <v>4</v>
      </c>
      <c r="P609" s="24" t="str" cm="1">
        <f t="array" ref="P609">_xlfn.IFS(O609&lt;=6,"Detractors",AND(O609&gt;=7,O609&lt;=8),"Passives",AND(O609&gt;8,O609&lt;=10),"Promoters",O609="Not Available","NA")</f>
        <v>Detractors</v>
      </c>
    </row>
    <row r="610" spans="1:16" ht="14.25" customHeight="1" x14ac:dyDescent="0.3">
      <c r="A610" s="2" t="s">
        <v>636</v>
      </c>
      <c r="B610" s="2" t="s">
        <v>15</v>
      </c>
      <c r="C610" s="2" t="s">
        <v>16</v>
      </c>
      <c r="D610" s="3">
        <v>45949</v>
      </c>
      <c r="E610" s="3">
        <v>45953</v>
      </c>
      <c r="F610" s="3">
        <v>45957</v>
      </c>
      <c r="G610" s="3">
        <v>45962</v>
      </c>
      <c r="H610" s="23" t="str">
        <f t="shared" si="9"/>
        <v>Delivered</v>
      </c>
      <c r="I610" s="2" t="s">
        <v>17</v>
      </c>
      <c r="J610" s="24" t="s">
        <v>1054</v>
      </c>
      <c r="K610" s="3">
        <v>45987</v>
      </c>
      <c r="L610" s="2">
        <v>4</v>
      </c>
      <c r="M610" s="2">
        <v>4</v>
      </c>
      <c r="N610" s="2">
        <v>5</v>
      </c>
      <c r="O610" s="36">
        <v>0</v>
      </c>
      <c r="P610" s="24" t="str" cm="1">
        <f t="array" ref="P610">_xlfn.IFS(O610&lt;=6,"Detractors",AND(O610&gt;=7,O610&lt;=8),"Passives",AND(O610&gt;8,O610&lt;=10),"Promoters",O610="Not Available","NA")</f>
        <v>Detractors</v>
      </c>
    </row>
    <row r="611" spans="1:16" ht="14.25" customHeight="1" x14ac:dyDescent="0.3">
      <c r="A611" s="42" t="s">
        <v>637</v>
      </c>
      <c r="B611" s="2" t="s">
        <v>15</v>
      </c>
      <c r="C611" s="2" t="s">
        <v>30</v>
      </c>
      <c r="D611" s="3">
        <v>45935</v>
      </c>
      <c r="E611" s="3">
        <v>45939</v>
      </c>
      <c r="F611" s="3">
        <v>45940</v>
      </c>
      <c r="G611" s="3">
        <v>45945</v>
      </c>
      <c r="H611" s="23" t="str">
        <f t="shared" si="9"/>
        <v>Delivered</v>
      </c>
      <c r="I611" s="2" t="s">
        <v>17</v>
      </c>
      <c r="J611" s="24" t="s">
        <v>1054</v>
      </c>
      <c r="K611" s="3">
        <v>45964</v>
      </c>
      <c r="L611" s="2">
        <v>4</v>
      </c>
      <c r="M611" s="2">
        <v>1</v>
      </c>
      <c r="N611" s="2">
        <v>5</v>
      </c>
      <c r="O611" s="36">
        <v>1</v>
      </c>
      <c r="P611" s="24" t="str" cm="1">
        <f t="array" ref="P611">_xlfn.IFS(O611&lt;=6,"Detractors",AND(O611&gt;=7,O611&lt;=8),"Passives",AND(O611&gt;8,O611&lt;=10),"Promoters",O611="Not Available","NA")</f>
        <v>Detractors</v>
      </c>
    </row>
    <row r="612" spans="1:16" ht="14.25" customHeight="1" x14ac:dyDescent="0.3">
      <c r="A612" s="42" t="s">
        <v>638</v>
      </c>
      <c r="B612" s="2" t="s">
        <v>19</v>
      </c>
      <c r="C612" s="2" t="s">
        <v>30</v>
      </c>
      <c r="D612" s="3">
        <v>45938</v>
      </c>
      <c r="E612" s="3">
        <v>45941</v>
      </c>
      <c r="F612" s="3">
        <v>45942</v>
      </c>
      <c r="G612" s="3">
        <v>45948</v>
      </c>
      <c r="H612" s="23" t="str">
        <f t="shared" si="9"/>
        <v>Delivered</v>
      </c>
      <c r="I612" s="2" t="s">
        <v>17</v>
      </c>
      <c r="J612" s="24" t="s">
        <v>1054</v>
      </c>
      <c r="K612" s="3">
        <v>45966</v>
      </c>
      <c r="L612" s="2">
        <v>3</v>
      </c>
      <c r="M612" s="2">
        <v>1</v>
      </c>
      <c r="N612" s="2">
        <v>6</v>
      </c>
      <c r="O612" s="36">
        <v>1</v>
      </c>
      <c r="P612" s="24" t="str" cm="1">
        <f t="array" ref="P612">_xlfn.IFS(O612&lt;=6,"Detractors",AND(O612&gt;=7,O612&lt;=8),"Passives",AND(O612&gt;8,O612&lt;=10),"Promoters",O612="Not Available","NA")</f>
        <v>Detractors</v>
      </c>
    </row>
    <row r="613" spans="1:16" ht="14.25" customHeight="1" x14ac:dyDescent="0.3">
      <c r="A613" s="2" t="s">
        <v>639</v>
      </c>
      <c r="B613" s="2" t="s">
        <v>19</v>
      </c>
      <c r="C613" s="2" t="s">
        <v>16</v>
      </c>
      <c r="D613" s="3">
        <v>45945</v>
      </c>
      <c r="E613" s="3">
        <v>45947</v>
      </c>
      <c r="F613" s="3">
        <v>45952</v>
      </c>
      <c r="G613" s="3">
        <v>45956</v>
      </c>
      <c r="H613" s="23" t="str">
        <f t="shared" si="9"/>
        <v>Delivered</v>
      </c>
      <c r="I613" s="2" t="s">
        <v>17</v>
      </c>
      <c r="J613" s="24" t="s">
        <v>1054</v>
      </c>
      <c r="K613" s="3">
        <v>45979</v>
      </c>
      <c r="L613" s="2">
        <v>2</v>
      </c>
      <c r="M613" s="2">
        <v>5</v>
      </c>
      <c r="N613" s="2">
        <v>4</v>
      </c>
      <c r="O613" s="36">
        <v>2</v>
      </c>
      <c r="P613" s="24" t="str" cm="1">
        <f t="array" ref="P613">_xlfn.IFS(O613&lt;=6,"Detractors",AND(O613&gt;=7,O613&lt;=8),"Passives",AND(O613&gt;8,O613&lt;=10),"Promoters",O613="Not Available","NA")</f>
        <v>Detractors</v>
      </c>
    </row>
    <row r="614" spans="1:16" ht="14.25" customHeight="1" x14ac:dyDescent="0.3">
      <c r="A614" s="2" t="s">
        <v>640</v>
      </c>
      <c r="B614" s="2" t="s">
        <v>32</v>
      </c>
      <c r="C614" s="2" t="s">
        <v>16</v>
      </c>
      <c r="D614" s="3">
        <v>45951</v>
      </c>
      <c r="E614" s="3">
        <v>45955</v>
      </c>
      <c r="F614" s="3">
        <v>45960</v>
      </c>
      <c r="G614" s="3">
        <v>45962</v>
      </c>
      <c r="H614" s="23" t="str">
        <f t="shared" si="9"/>
        <v>Delivered</v>
      </c>
      <c r="I614" s="2" t="s">
        <v>17</v>
      </c>
      <c r="J614" s="24" t="s">
        <v>1054</v>
      </c>
      <c r="K614" s="3">
        <v>45984</v>
      </c>
      <c r="L614" s="2">
        <v>4</v>
      </c>
      <c r="M614" s="2">
        <v>5</v>
      </c>
      <c r="N614" s="2">
        <v>2</v>
      </c>
      <c r="O614" s="36">
        <v>8</v>
      </c>
      <c r="P614" s="24" t="str" cm="1">
        <f t="array" ref="P614">_xlfn.IFS(O614&lt;=6,"Detractors",AND(O614&gt;=7,O614&lt;=8),"Passives",AND(O614&gt;8,O614&lt;=10),"Promoters",O614="Not Available","NA")</f>
        <v>Passives</v>
      </c>
    </row>
    <row r="615" spans="1:16" ht="14.25" customHeight="1" x14ac:dyDescent="0.3">
      <c r="A615" s="2" t="s">
        <v>641</v>
      </c>
      <c r="B615" s="2" t="s">
        <v>19</v>
      </c>
      <c r="C615" s="2" t="s">
        <v>22</v>
      </c>
      <c r="D615" s="3">
        <v>45939</v>
      </c>
      <c r="H615" s="23" t="str">
        <f t="shared" si="9"/>
        <v>Not Delivered</v>
      </c>
      <c r="I615" s="2" t="s">
        <v>23</v>
      </c>
      <c r="J615" s="2" t="s">
        <v>101</v>
      </c>
      <c r="L615">
        <v>0</v>
      </c>
      <c r="M615">
        <v>0</v>
      </c>
      <c r="N615">
        <v>0</v>
      </c>
      <c r="O615" t="s">
        <v>1080</v>
      </c>
      <c r="P615" s="24" t="str" cm="1">
        <f t="array" ref="P615">_xlfn.IFS(O615&lt;=6,"Detractors",AND(O615&gt;=7,O615&lt;=8),"Passives",AND(O615&gt;8,O615&lt;=10),"Promoters",O615="Not Available","NA")</f>
        <v>NA</v>
      </c>
    </row>
    <row r="616" spans="1:16" ht="14.25" customHeight="1" x14ac:dyDescent="0.3">
      <c r="A616" s="2" t="s">
        <v>642</v>
      </c>
      <c r="B616" s="2" t="s">
        <v>21</v>
      </c>
      <c r="C616" s="2" t="s">
        <v>16</v>
      </c>
      <c r="D616" s="3">
        <v>45945</v>
      </c>
      <c r="E616" s="3">
        <v>45949</v>
      </c>
      <c r="F616" s="3">
        <v>45953</v>
      </c>
      <c r="G616" s="3">
        <v>45958</v>
      </c>
      <c r="H616" s="23" t="str">
        <f t="shared" si="9"/>
        <v>Delivered</v>
      </c>
      <c r="I616" s="2" t="s">
        <v>17</v>
      </c>
      <c r="J616" s="24" t="s">
        <v>1054</v>
      </c>
      <c r="K616" s="3">
        <v>45980</v>
      </c>
      <c r="L616" s="2">
        <v>4</v>
      </c>
      <c r="M616" s="2">
        <v>4</v>
      </c>
      <c r="N616" s="2">
        <v>5</v>
      </c>
      <c r="O616" s="36">
        <v>6</v>
      </c>
      <c r="P616" s="24" t="str" cm="1">
        <f t="array" ref="P616">_xlfn.IFS(O616&lt;=6,"Detractors",AND(O616&gt;=7,O616&lt;=8),"Passives",AND(O616&gt;8,O616&lt;=10),"Promoters",O616="Not Available","NA")</f>
        <v>Detractors</v>
      </c>
    </row>
    <row r="617" spans="1:16" ht="14.25" customHeight="1" x14ac:dyDescent="0.3">
      <c r="A617" s="2" t="s">
        <v>643</v>
      </c>
      <c r="B617" s="2" t="s">
        <v>15</v>
      </c>
      <c r="C617" s="2" t="s">
        <v>16</v>
      </c>
      <c r="D617" s="3">
        <v>45939</v>
      </c>
      <c r="E617" s="3">
        <v>45942</v>
      </c>
      <c r="F617" s="3">
        <v>45943</v>
      </c>
      <c r="G617" s="3">
        <v>45949</v>
      </c>
      <c r="H617" s="23" t="str">
        <f t="shared" si="9"/>
        <v>Delivered</v>
      </c>
      <c r="I617" s="2" t="s">
        <v>17</v>
      </c>
      <c r="J617" s="24" t="s">
        <v>1054</v>
      </c>
      <c r="K617" s="3">
        <v>45960</v>
      </c>
      <c r="L617" s="2">
        <v>3</v>
      </c>
      <c r="M617" s="2">
        <v>1</v>
      </c>
      <c r="N617" s="2">
        <v>6</v>
      </c>
      <c r="O617" s="36">
        <v>6</v>
      </c>
      <c r="P617" s="24" t="str" cm="1">
        <f t="array" ref="P617">_xlfn.IFS(O617&lt;=6,"Detractors",AND(O617&gt;=7,O617&lt;=8),"Passives",AND(O617&gt;8,O617&lt;=10),"Promoters",O617="Not Available","NA")</f>
        <v>Detractors</v>
      </c>
    </row>
    <row r="618" spans="1:16" ht="14.25" customHeight="1" x14ac:dyDescent="0.3">
      <c r="A618" s="2" t="s">
        <v>644</v>
      </c>
      <c r="B618" s="2" t="s">
        <v>15</v>
      </c>
      <c r="C618" s="2" t="s">
        <v>16</v>
      </c>
      <c r="D618" s="3">
        <v>45952</v>
      </c>
      <c r="E618" s="3">
        <v>45957</v>
      </c>
      <c r="F618" s="3">
        <v>45958</v>
      </c>
      <c r="G618" s="3">
        <v>45961</v>
      </c>
      <c r="H618" s="23" t="str">
        <f t="shared" si="9"/>
        <v>Delivered</v>
      </c>
      <c r="I618" s="2" t="s">
        <v>17</v>
      </c>
      <c r="J618" s="24" t="s">
        <v>1054</v>
      </c>
      <c r="K618" s="3">
        <v>45989</v>
      </c>
      <c r="L618" s="2">
        <v>5</v>
      </c>
      <c r="M618" s="2">
        <v>1</v>
      </c>
      <c r="N618" s="2">
        <v>3</v>
      </c>
      <c r="O618" s="36">
        <v>3</v>
      </c>
      <c r="P618" s="24" t="str" cm="1">
        <f t="array" ref="P618">_xlfn.IFS(O618&lt;=6,"Detractors",AND(O618&gt;=7,O618&lt;=8),"Passives",AND(O618&gt;8,O618&lt;=10),"Promoters",O618="Not Available","NA")</f>
        <v>Detractors</v>
      </c>
    </row>
    <row r="619" spans="1:16" ht="14.25" customHeight="1" x14ac:dyDescent="0.3">
      <c r="A619" s="42" t="s">
        <v>645</v>
      </c>
      <c r="B619" s="2" t="s">
        <v>21</v>
      </c>
      <c r="C619" s="2" t="s">
        <v>30</v>
      </c>
      <c r="D619" s="3">
        <v>45931</v>
      </c>
      <c r="E619" s="3">
        <v>45934</v>
      </c>
      <c r="F619" s="3">
        <v>45939</v>
      </c>
      <c r="G619" s="3">
        <v>45943</v>
      </c>
      <c r="H619" s="23" t="str">
        <f t="shared" si="9"/>
        <v>Delivered</v>
      </c>
      <c r="I619" s="2" t="s">
        <v>17</v>
      </c>
      <c r="J619" s="24" t="s">
        <v>1054</v>
      </c>
      <c r="K619" s="3">
        <v>45971</v>
      </c>
      <c r="L619" s="2">
        <v>3</v>
      </c>
      <c r="M619" s="2">
        <v>5</v>
      </c>
      <c r="N619" s="2">
        <v>4</v>
      </c>
      <c r="O619" s="36">
        <v>4</v>
      </c>
      <c r="P619" s="24" t="str" cm="1">
        <f t="array" ref="P619">_xlfn.IFS(O619&lt;=6,"Detractors",AND(O619&gt;=7,O619&lt;=8),"Passives",AND(O619&gt;8,O619&lt;=10),"Promoters",O619="Not Available","NA")</f>
        <v>Detractors</v>
      </c>
    </row>
    <row r="620" spans="1:16" ht="14.25" customHeight="1" x14ac:dyDescent="0.3">
      <c r="A620" s="2" t="s">
        <v>646</v>
      </c>
      <c r="B620" s="2" t="s">
        <v>19</v>
      </c>
      <c r="C620" s="2" t="s">
        <v>22</v>
      </c>
      <c r="D620" s="3">
        <v>45959</v>
      </c>
      <c r="H620" s="23" t="str">
        <f t="shared" si="9"/>
        <v>Not Delivered</v>
      </c>
      <c r="I620" s="2" t="s">
        <v>23</v>
      </c>
      <c r="J620" s="2" t="s">
        <v>101</v>
      </c>
      <c r="L620">
        <v>0</v>
      </c>
      <c r="M620">
        <v>0</v>
      </c>
      <c r="N620">
        <v>0</v>
      </c>
      <c r="O620" t="s">
        <v>1080</v>
      </c>
      <c r="P620" s="24" t="str" cm="1">
        <f t="array" ref="P620">_xlfn.IFS(O620&lt;=6,"Detractors",AND(O620&gt;=7,O620&lt;=8),"Passives",AND(O620&gt;8,O620&lt;=10),"Promoters",O620="Not Available","NA")</f>
        <v>NA</v>
      </c>
    </row>
    <row r="621" spans="1:16" ht="14.25" customHeight="1" x14ac:dyDescent="0.3">
      <c r="A621" s="2" t="s">
        <v>647</v>
      </c>
      <c r="B621" s="2" t="s">
        <v>21</v>
      </c>
      <c r="C621" s="2" t="s">
        <v>16</v>
      </c>
      <c r="D621" s="3">
        <v>45956</v>
      </c>
      <c r="E621" s="3">
        <v>45957</v>
      </c>
      <c r="F621" s="3">
        <v>45960</v>
      </c>
      <c r="G621" s="3">
        <v>45963</v>
      </c>
      <c r="H621" s="23" t="str">
        <f t="shared" si="9"/>
        <v>Delivered</v>
      </c>
      <c r="I621" s="2" t="s">
        <v>23</v>
      </c>
      <c r="J621" s="2" t="s">
        <v>63</v>
      </c>
      <c r="L621" s="2">
        <v>1</v>
      </c>
      <c r="M621" s="2">
        <v>3</v>
      </c>
      <c r="N621" s="2">
        <v>3</v>
      </c>
      <c r="O621" t="s">
        <v>1080</v>
      </c>
      <c r="P621" s="24" t="str" cm="1">
        <f t="array" ref="P621">_xlfn.IFS(O621&lt;=6,"Detractors",AND(O621&gt;=7,O621&lt;=8),"Passives",AND(O621&gt;8,O621&lt;=10),"Promoters",O621="Not Available","NA")</f>
        <v>NA</v>
      </c>
    </row>
    <row r="622" spans="1:16" ht="14.25" customHeight="1" x14ac:dyDescent="0.3">
      <c r="A622" s="2" t="s">
        <v>648</v>
      </c>
      <c r="B622" s="2" t="s">
        <v>21</v>
      </c>
      <c r="C622" s="2" t="s">
        <v>16</v>
      </c>
      <c r="D622" s="3">
        <v>45945</v>
      </c>
      <c r="E622" s="3">
        <v>45949</v>
      </c>
      <c r="F622" s="3">
        <v>45954</v>
      </c>
      <c r="G622" s="3">
        <v>45958</v>
      </c>
      <c r="H622" s="23" t="str">
        <f t="shared" si="9"/>
        <v>Delivered</v>
      </c>
      <c r="I622" s="2" t="s">
        <v>23</v>
      </c>
      <c r="J622" s="2" t="s">
        <v>33</v>
      </c>
      <c r="L622" s="2">
        <v>4</v>
      </c>
      <c r="M622" s="2">
        <v>5</v>
      </c>
      <c r="N622" s="2">
        <v>4</v>
      </c>
      <c r="O622" t="s">
        <v>1080</v>
      </c>
      <c r="P622" s="24" t="str" cm="1">
        <f t="array" ref="P622">_xlfn.IFS(O622&lt;=6,"Detractors",AND(O622&gt;=7,O622&lt;=8),"Passives",AND(O622&gt;8,O622&lt;=10),"Promoters",O622="Not Available","NA")</f>
        <v>NA</v>
      </c>
    </row>
    <row r="623" spans="1:16" ht="14.25" customHeight="1" x14ac:dyDescent="0.3">
      <c r="A623" s="42" t="s">
        <v>649</v>
      </c>
      <c r="B623" s="2" t="s">
        <v>32</v>
      </c>
      <c r="C623" s="2" t="s">
        <v>30</v>
      </c>
      <c r="D623" s="3">
        <v>45959</v>
      </c>
      <c r="E623" s="3">
        <v>45960</v>
      </c>
      <c r="F623" s="3">
        <v>45963</v>
      </c>
      <c r="G623" s="3">
        <v>45965</v>
      </c>
      <c r="H623" s="23" t="str">
        <f t="shared" si="9"/>
        <v>Delivered</v>
      </c>
      <c r="I623" s="2" t="s">
        <v>17</v>
      </c>
      <c r="J623" s="24" t="s">
        <v>1054</v>
      </c>
      <c r="K623" s="3">
        <v>45981</v>
      </c>
      <c r="L623" s="2">
        <v>1</v>
      </c>
      <c r="M623" s="2">
        <v>3</v>
      </c>
      <c r="N623" s="2">
        <v>2</v>
      </c>
      <c r="O623" s="36">
        <v>6</v>
      </c>
      <c r="P623" s="24" t="str" cm="1">
        <f t="array" ref="P623">_xlfn.IFS(O623&lt;=6,"Detractors",AND(O623&gt;=7,O623&lt;=8),"Passives",AND(O623&gt;8,O623&lt;=10),"Promoters",O623="Not Available","NA")</f>
        <v>Detractors</v>
      </c>
    </row>
    <row r="624" spans="1:16" ht="14.25" customHeight="1" x14ac:dyDescent="0.3">
      <c r="A624" s="2" t="s">
        <v>650</v>
      </c>
      <c r="B624" s="2" t="s">
        <v>21</v>
      </c>
      <c r="C624" s="2" t="s">
        <v>16</v>
      </c>
      <c r="D624" s="3">
        <v>45940</v>
      </c>
      <c r="E624" s="3">
        <v>45944</v>
      </c>
      <c r="F624" s="3">
        <v>45945</v>
      </c>
      <c r="G624" s="3">
        <v>45951</v>
      </c>
      <c r="H624" s="23" t="str">
        <f t="shared" si="9"/>
        <v>Delivered</v>
      </c>
      <c r="I624" s="2" t="s">
        <v>17</v>
      </c>
      <c r="J624" s="24" t="s">
        <v>1054</v>
      </c>
      <c r="K624" s="3">
        <v>45971</v>
      </c>
      <c r="L624" s="2">
        <v>4</v>
      </c>
      <c r="M624" s="2">
        <v>1</v>
      </c>
      <c r="N624" s="2">
        <v>6</v>
      </c>
      <c r="O624" s="36">
        <v>9</v>
      </c>
      <c r="P624" s="24" t="str" cm="1">
        <f t="array" ref="P624">_xlfn.IFS(O624&lt;=6,"Detractors",AND(O624&gt;=7,O624&lt;=8),"Passives",AND(O624&gt;8,O624&lt;=10),"Promoters",O624="Not Available","NA")</f>
        <v>Promoters</v>
      </c>
    </row>
    <row r="625" spans="1:16" ht="14.25" customHeight="1" x14ac:dyDescent="0.3">
      <c r="A625" s="2" t="s">
        <v>651</v>
      </c>
      <c r="B625" s="2" t="s">
        <v>15</v>
      </c>
      <c r="C625" s="2" t="s">
        <v>16</v>
      </c>
      <c r="D625" s="3">
        <v>45952</v>
      </c>
      <c r="E625" s="3">
        <v>45957</v>
      </c>
      <c r="F625" s="3">
        <v>45962</v>
      </c>
      <c r="G625" s="3">
        <v>45969</v>
      </c>
      <c r="H625" s="23" t="str">
        <f t="shared" si="9"/>
        <v>Delivered</v>
      </c>
      <c r="I625" s="2" t="s">
        <v>17</v>
      </c>
      <c r="J625" s="24" t="s">
        <v>1054</v>
      </c>
      <c r="K625" s="3">
        <v>45986</v>
      </c>
      <c r="L625" s="2">
        <v>5</v>
      </c>
      <c r="M625" s="2">
        <v>5</v>
      </c>
      <c r="N625" s="2">
        <v>7</v>
      </c>
      <c r="O625" s="36">
        <v>8</v>
      </c>
      <c r="P625" s="24" t="str" cm="1">
        <f t="array" ref="P625">_xlfn.IFS(O625&lt;=6,"Detractors",AND(O625&gt;=7,O625&lt;=8),"Passives",AND(O625&gt;8,O625&lt;=10),"Promoters",O625="Not Available","NA")</f>
        <v>Passives</v>
      </c>
    </row>
    <row r="626" spans="1:16" ht="14.25" customHeight="1" x14ac:dyDescent="0.3">
      <c r="A626" s="2" t="s">
        <v>652</v>
      </c>
      <c r="B626" s="2" t="s">
        <v>21</v>
      </c>
      <c r="C626" s="2" t="s">
        <v>22</v>
      </c>
      <c r="D626" s="3">
        <v>45948</v>
      </c>
      <c r="H626" s="23" t="str">
        <f t="shared" si="9"/>
        <v>Not Delivered</v>
      </c>
      <c r="I626" s="2" t="s">
        <v>23</v>
      </c>
      <c r="J626" s="2" t="s">
        <v>101</v>
      </c>
      <c r="L626">
        <v>0</v>
      </c>
      <c r="M626">
        <v>0</v>
      </c>
      <c r="N626">
        <v>0</v>
      </c>
      <c r="O626" t="s">
        <v>1080</v>
      </c>
      <c r="P626" s="24" t="str" cm="1">
        <f t="array" ref="P626">_xlfn.IFS(O626&lt;=6,"Detractors",AND(O626&gt;=7,O626&lt;=8),"Passives",AND(O626&gt;8,O626&lt;=10),"Promoters",O626="Not Available","NA")</f>
        <v>NA</v>
      </c>
    </row>
    <row r="627" spans="1:16" ht="14.25" customHeight="1" x14ac:dyDescent="0.3">
      <c r="A627" s="42" t="s">
        <v>653</v>
      </c>
      <c r="B627" s="2" t="s">
        <v>15</v>
      </c>
      <c r="C627" s="2" t="s">
        <v>30</v>
      </c>
      <c r="D627" s="3">
        <v>45936</v>
      </c>
      <c r="E627" s="3">
        <v>45938</v>
      </c>
      <c r="F627" s="3">
        <v>45942</v>
      </c>
      <c r="G627" s="3">
        <v>45949</v>
      </c>
      <c r="H627" s="23" t="str">
        <f t="shared" si="9"/>
        <v>Delivered</v>
      </c>
      <c r="I627" s="2" t="s">
        <v>17</v>
      </c>
      <c r="J627" s="24" t="s">
        <v>1054</v>
      </c>
      <c r="K627" s="3">
        <v>45976</v>
      </c>
      <c r="L627" s="2">
        <v>2</v>
      </c>
      <c r="M627" s="2">
        <v>4</v>
      </c>
      <c r="N627" s="2">
        <v>7</v>
      </c>
      <c r="O627" s="36">
        <v>0</v>
      </c>
      <c r="P627" s="24" t="str" cm="1">
        <f t="array" ref="P627">_xlfn.IFS(O627&lt;=6,"Detractors",AND(O627&gt;=7,O627&lt;=8),"Passives",AND(O627&gt;8,O627&lt;=10),"Promoters",O627="Not Available","NA")</f>
        <v>Detractors</v>
      </c>
    </row>
    <row r="628" spans="1:16" ht="14.25" customHeight="1" x14ac:dyDescent="0.3">
      <c r="A628" s="2" t="s">
        <v>654</v>
      </c>
      <c r="B628" s="2" t="s">
        <v>15</v>
      </c>
      <c r="C628" s="2" t="s">
        <v>16</v>
      </c>
      <c r="D628" s="3">
        <v>45933</v>
      </c>
      <c r="E628" s="3">
        <v>45938</v>
      </c>
      <c r="F628" s="3">
        <v>45940</v>
      </c>
      <c r="G628" s="3">
        <v>45942</v>
      </c>
      <c r="H628" s="23" t="str">
        <f t="shared" si="9"/>
        <v>Delivered</v>
      </c>
      <c r="I628" s="2" t="s">
        <v>17</v>
      </c>
      <c r="J628" s="24" t="s">
        <v>1054</v>
      </c>
      <c r="K628" s="3">
        <v>45972</v>
      </c>
      <c r="L628" s="2">
        <v>5</v>
      </c>
      <c r="M628" s="2">
        <v>2</v>
      </c>
      <c r="N628" s="2">
        <v>2</v>
      </c>
      <c r="O628" s="36">
        <v>1</v>
      </c>
      <c r="P628" s="24" t="str" cm="1">
        <f t="array" ref="P628">_xlfn.IFS(O628&lt;=6,"Detractors",AND(O628&gt;=7,O628&lt;=8),"Passives",AND(O628&gt;8,O628&lt;=10),"Promoters",O628="Not Available","NA")</f>
        <v>Detractors</v>
      </c>
    </row>
    <row r="629" spans="1:16" ht="14.25" customHeight="1" x14ac:dyDescent="0.3">
      <c r="A629" s="2" t="s">
        <v>655</v>
      </c>
      <c r="B629" s="2" t="s">
        <v>15</v>
      </c>
      <c r="C629" s="2" t="s">
        <v>22</v>
      </c>
      <c r="D629" s="3">
        <v>45945</v>
      </c>
      <c r="H629" s="23" t="str">
        <f t="shared" si="9"/>
        <v>Not Delivered</v>
      </c>
      <c r="I629" s="2" t="s">
        <v>23</v>
      </c>
      <c r="J629" s="2" t="s">
        <v>101</v>
      </c>
      <c r="L629">
        <v>0</v>
      </c>
      <c r="M629">
        <v>0</v>
      </c>
      <c r="N629">
        <v>0</v>
      </c>
      <c r="O629" t="s">
        <v>1080</v>
      </c>
      <c r="P629" s="24" t="str" cm="1">
        <f t="array" ref="P629">_xlfn.IFS(O629&lt;=6,"Detractors",AND(O629&gt;=7,O629&lt;=8),"Passives",AND(O629&gt;8,O629&lt;=10),"Promoters",O629="Not Available","NA")</f>
        <v>NA</v>
      </c>
    </row>
    <row r="630" spans="1:16" ht="14.25" customHeight="1" x14ac:dyDescent="0.3">
      <c r="A630" s="2" t="s">
        <v>656</v>
      </c>
      <c r="B630" s="2" t="s">
        <v>19</v>
      </c>
      <c r="C630" s="2" t="s">
        <v>16</v>
      </c>
      <c r="D630" s="3">
        <v>45961</v>
      </c>
      <c r="E630" s="3">
        <v>45964</v>
      </c>
      <c r="F630" s="3">
        <v>45965</v>
      </c>
      <c r="G630" s="3">
        <v>45968</v>
      </c>
      <c r="H630" s="23" t="str">
        <f t="shared" si="9"/>
        <v>Delivered</v>
      </c>
      <c r="I630" s="2" t="s">
        <v>23</v>
      </c>
      <c r="J630" s="2" t="s">
        <v>26</v>
      </c>
      <c r="L630" s="2">
        <v>3</v>
      </c>
      <c r="M630" s="2">
        <v>1</v>
      </c>
      <c r="N630" s="2">
        <v>3</v>
      </c>
      <c r="O630" t="s">
        <v>1080</v>
      </c>
      <c r="P630" s="24" t="str" cm="1">
        <f t="array" ref="P630">_xlfn.IFS(O630&lt;=6,"Detractors",AND(O630&gt;=7,O630&lt;=8),"Passives",AND(O630&gt;8,O630&lt;=10),"Promoters",O630="Not Available","NA")</f>
        <v>NA</v>
      </c>
    </row>
    <row r="631" spans="1:16" ht="14.25" customHeight="1" x14ac:dyDescent="0.3">
      <c r="A631" s="2" t="s">
        <v>657</v>
      </c>
      <c r="B631" s="2" t="s">
        <v>32</v>
      </c>
      <c r="C631" s="2" t="s">
        <v>16</v>
      </c>
      <c r="D631" s="3">
        <v>45942</v>
      </c>
      <c r="E631" s="3">
        <v>45945</v>
      </c>
      <c r="F631" s="3">
        <v>45946</v>
      </c>
      <c r="G631" s="3">
        <v>45953</v>
      </c>
      <c r="H631" s="23" t="str">
        <f t="shared" si="9"/>
        <v>Delivered</v>
      </c>
      <c r="I631" s="2" t="s">
        <v>17</v>
      </c>
      <c r="J631" s="24" t="s">
        <v>1054</v>
      </c>
      <c r="K631" s="3">
        <v>45978</v>
      </c>
      <c r="L631" s="2">
        <v>3</v>
      </c>
      <c r="M631" s="2">
        <v>1</v>
      </c>
      <c r="N631" s="2">
        <v>7</v>
      </c>
      <c r="O631" s="36">
        <v>3</v>
      </c>
      <c r="P631" s="24" t="str" cm="1">
        <f t="array" ref="P631">_xlfn.IFS(O631&lt;=6,"Detractors",AND(O631&gt;=7,O631&lt;=8),"Passives",AND(O631&gt;8,O631&lt;=10),"Promoters",O631="Not Available","NA")</f>
        <v>Detractors</v>
      </c>
    </row>
    <row r="632" spans="1:16" ht="14.25" customHeight="1" x14ac:dyDescent="0.3">
      <c r="A632" s="42" t="s">
        <v>658</v>
      </c>
      <c r="B632" s="2" t="s">
        <v>15</v>
      </c>
      <c r="C632" s="2" t="s">
        <v>30</v>
      </c>
      <c r="D632" s="3">
        <v>45949</v>
      </c>
      <c r="E632" s="3">
        <v>45950</v>
      </c>
      <c r="F632" s="3">
        <v>45955</v>
      </c>
      <c r="G632" s="3">
        <v>45961</v>
      </c>
      <c r="H632" s="23" t="str">
        <f t="shared" si="9"/>
        <v>Delivered</v>
      </c>
      <c r="I632" s="2" t="s">
        <v>17</v>
      </c>
      <c r="J632" s="24" t="s">
        <v>1054</v>
      </c>
      <c r="K632" s="3">
        <v>45982</v>
      </c>
      <c r="L632" s="2">
        <v>1</v>
      </c>
      <c r="M632" s="2">
        <v>5</v>
      </c>
      <c r="N632" s="2">
        <v>6</v>
      </c>
      <c r="O632" s="36">
        <v>1</v>
      </c>
      <c r="P632" s="24" t="str" cm="1">
        <f t="array" ref="P632">_xlfn.IFS(O632&lt;=6,"Detractors",AND(O632&gt;=7,O632&lt;=8),"Passives",AND(O632&gt;8,O632&lt;=10),"Promoters",O632="Not Available","NA")</f>
        <v>Detractors</v>
      </c>
    </row>
    <row r="633" spans="1:16" ht="14.25" customHeight="1" x14ac:dyDescent="0.3">
      <c r="A633" s="2" t="s">
        <v>659</v>
      </c>
      <c r="B633" s="2" t="s">
        <v>15</v>
      </c>
      <c r="C633" s="2" t="s">
        <v>22</v>
      </c>
      <c r="D633" s="3">
        <v>45940</v>
      </c>
      <c r="H633" s="23" t="str">
        <f t="shared" si="9"/>
        <v>Not Delivered</v>
      </c>
      <c r="I633" s="2" t="s">
        <v>23</v>
      </c>
      <c r="J633" s="2" t="s">
        <v>63</v>
      </c>
      <c r="L633">
        <v>0</v>
      </c>
      <c r="M633">
        <v>0</v>
      </c>
      <c r="N633">
        <v>0</v>
      </c>
      <c r="O633" t="s">
        <v>1080</v>
      </c>
      <c r="P633" s="24" t="str" cm="1">
        <f t="array" ref="P633">_xlfn.IFS(O633&lt;=6,"Detractors",AND(O633&gt;=7,O633&lt;=8),"Passives",AND(O633&gt;8,O633&lt;=10),"Promoters",O633="Not Available","NA")</f>
        <v>NA</v>
      </c>
    </row>
    <row r="634" spans="1:16" ht="14.25" customHeight="1" x14ac:dyDescent="0.3">
      <c r="A634" s="42" t="s">
        <v>660</v>
      </c>
      <c r="B634" s="2" t="s">
        <v>19</v>
      </c>
      <c r="C634" s="2" t="s">
        <v>30</v>
      </c>
      <c r="D634" s="3">
        <v>45951</v>
      </c>
      <c r="E634" s="3">
        <v>45952</v>
      </c>
      <c r="F634" s="3">
        <v>45954</v>
      </c>
      <c r="G634" s="3">
        <v>45956</v>
      </c>
      <c r="H634" s="23" t="str">
        <f t="shared" si="9"/>
        <v>Delivered</v>
      </c>
      <c r="I634" s="2" t="s">
        <v>17</v>
      </c>
      <c r="J634" s="24" t="s">
        <v>1054</v>
      </c>
      <c r="K634" s="3">
        <v>45982</v>
      </c>
      <c r="L634" s="2">
        <v>1</v>
      </c>
      <c r="M634" s="2">
        <v>2</v>
      </c>
      <c r="N634" s="2">
        <v>2</v>
      </c>
      <c r="O634" s="36">
        <v>9</v>
      </c>
      <c r="P634" s="24" t="str" cm="1">
        <f t="array" ref="P634">_xlfn.IFS(O634&lt;=6,"Detractors",AND(O634&gt;=7,O634&lt;=8),"Passives",AND(O634&gt;8,O634&lt;=10),"Promoters",O634="Not Available","NA")</f>
        <v>Promoters</v>
      </c>
    </row>
    <row r="635" spans="1:16" ht="14.25" customHeight="1" x14ac:dyDescent="0.3">
      <c r="A635" s="2" t="s">
        <v>661</v>
      </c>
      <c r="B635" s="2" t="s">
        <v>15</v>
      </c>
      <c r="C635" s="2" t="s">
        <v>16</v>
      </c>
      <c r="D635" s="3">
        <v>45961</v>
      </c>
      <c r="E635" s="3">
        <v>45964</v>
      </c>
      <c r="F635" s="3">
        <v>45966</v>
      </c>
      <c r="G635" s="3">
        <v>45968</v>
      </c>
      <c r="H635" s="23" t="str">
        <f t="shared" si="9"/>
        <v>Delivered</v>
      </c>
      <c r="I635" s="2" t="s">
        <v>17</v>
      </c>
      <c r="J635" s="24" t="s">
        <v>1054</v>
      </c>
      <c r="K635" s="3">
        <v>45987</v>
      </c>
      <c r="L635" s="2">
        <v>3</v>
      </c>
      <c r="M635" s="2">
        <v>2</v>
      </c>
      <c r="N635" s="2">
        <v>2</v>
      </c>
      <c r="O635" s="36">
        <v>3</v>
      </c>
      <c r="P635" s="24" t="str" cm="1">
        <f t="array" ref="P635">_xlfn.IFS(O635&lt;=6,"Detractors",AND(O635&gt;=7,O635&lt;=8),"Passives",AND(O635&gt;8,O635&lt;=10),"Promoters",O635="Not Available","NA")</f>
        <v>Detractors</v>
      </c>
    </row>
    <row r="636" spans="1:16" ht="14.25" customHeight="1" x14ac:dyDescent="0.3">
      <c r="A636" s="2" t="s">
        <v>662</v>
      </c>
      <c r="B636" s="2" t="s">
        <v>21</v>
      </c>
      <c r="C636" s="2" t="s">
        <v>16</v>
      </c>
      <c r="D636" s="3">
        <v>45944</v>
      </c>
      <c r="E636" s="3">
        <v>45947</v>
      </c>
      <c r="F636" s="3">
        <v>45949</v>
      </c>
      <c r="G636" s="3">
        <v>45951</v>
      </c>
      <c r="H636" s="23" t="str">
        <f t="shared" si="9"/>
        <v>Delivered</v>
      </c>
      <c r="I636" s="2" t="s">
        <v>17</v>
      </c>
      <c r="J636" s="24" t="s">
        <v>1054</v>
      </c>
      <c r="K636" s="3">
        <v>45966</v>
      </c>
      <c r="L636" s="2">
        <v>3</v>
      </c>
      <c r="M636" s="2">
        <v>2</v>
      </c>
      <c r="N636" s="2">
        <v>2</v>
      </c>
      <c r="O636" s="36">
        <v>5</v>
      </c>
      <c r="P636" s="24" t="str" cm="1">
        <f t="array" ref="P636">_xlfn.IFS(O636&lt;=6,"Detractors",AND(O636&gt;=7,O636&lt;=8),"Passives",AND(O636&gt;8,O636&lt;=10),"Promoters",O636="Not Available","NA")</f>
        <v>Detractors</v>
      </c>
    </row>
    <row r="637" spans="1:16" ht="14.25" customHeight="1" x14ac:dyDescent="0.3">
      <c r="A637" s="2" t="s">
        <v>663</v>
      </c>
      <c r="B637" s="2" t="s">
        <v>21</v>
      </c>
      <c r="C637" s="2" t="s">
        <v>30</v>
      </c>
      <c r="D637" s="3">
        <v>45953</v>
      </c>
      <c r="E637" s="3">
        <v>45956</v>
      </c>
      <c r="F637" s="3">
        <v>45961</v>
      </c>
      <c r="G637" s="3">
        <v>45964</v>
      </c>
      <c r="H637" s="23" t="str">
        <f t="shared" si="9"/>
        <v>Delivered</v>
      </c>
      <c r="I637" s="2" t="s">
        <v>23</v>
      </c>
      <c r="J637" s="2" t="s">
        <v>101</v>
      </c>
      <c r="L637" s="2">
        <v>3</v>
      </c>
      <c r="M637" s="2">
        <v>5</v>
      </c>
      <c r="N637" s="2">
        <v>3</v>
      </c>
      <c r="O637" t="s">
        <v>1080</v>
      </c>
      <c r="P637" s="24" t="str" cm="1">
        <f t="array" ref="P637">_xlfn.IFS(O637&lt;=6,"Detractors",AND(O637&gt;=7,O637&lt;=8),"Passives",AND(O637&gt;8,O637&lt;=10),"Promoters",O637="Not Available","NA")</f>
        <v>NA</v>
      </c>
    </row>
    <row r="638" spans="1:16" ht="14.25" customHeight="1" x14ac:dyDescent="0.3">
      <c r="A638" s="2" t="s">
        <v>664</v>
      </c>
      <c r="B638" s="2" t="s">
        <v>32</v>
      </c>
      <c r="C638" s="2" t="s">
        <v>16</v>
      </c>
      <c r="D638" s="3">
        <v>45939</v>
      </c>
      <c r="E638" s="3">
        <v>45943</v>
      </c>
      <c r="F638" s="3">
        <v>45948</v>
      </c>
      <c r="G638" s="3">
        <v>45950</v>
      </c>
      <c r="H638" s="23" t="str">
        <f t="shared" si="9"/>
        <v>Delivered</v>
      </c>
      <c r="I638" s="2" t="s">
        <v>17</v>
      </c>
      <c r="J638" s="24" t="s">
        <v>1054</v>
      </c>
      <c r="K638" s="3">
        <v>45977</v>
      </c>
      <c r="L638" s="2">
        <v>4</v>
      </c>
      <c r="M638" s="2">
        <v>5</v>
      </c>
      <c r="N638" s="2">
        <v>2</v>
      </c>
      <c r="O638" s="36">
        <v>3</v>
      </c>
      <c r="P638" s="24" t="str" cm="1">
        <f t="array" ref="P638">_xlfn.IFS(O638&lt;=6,"Detractors",AND(O638&gt;=7,O638&lt;=8),"Passives",AND(O638&gt;8,O638&lt;=10),"Promoters",O638="Not Available","NA")</f>
        <v>Detractors</v>
      </c>
    </row>
    <row r="639" spans="1:16" ht="14.25" customHeight="1" x14ac:dyDescent="0.3">
      <c r="A639" s="42" t="s">
        <v>665</v>
      </c>
      <c r="B639" s="2" t="s">
        <v>15</v>
      </c>
      <c r="C639" s="2" t="s">
        <v>30</v>
      </c>
      <c r="D639" s="3">
        <v>45945</v>
      </c>
      <c r="E639" s="3">
        <v>45950</v>
      </c>
      <c r="F639" s="3">
        <v>45953</v>
      </c>
      <c r="G639" s="3">
        <v>45958</v>
      </c>
      <c r="H639" s="23" t="str">
        <f t="shared" si="9"/>
        <v>Delivered</v>
      </c>
      <c r="I639" s="2" t="s">
        <v>17</v>
      </c>
      <c r="J639" s="24" t="s">
        <v>1054</v>
      </c>
      <c r="K639" s="3">
        <v>45973</v>
      </c>
      <c r="L639" s="2">
        <v>5</v>
      </c>
      <c r="M639" s="2">
        <v>3</v>
      </c>
      <c r="N639" s="2">
        <v>5</v>
      </c>
      <c r="O639" s="36">
        <v>2</v>
      </c>
      <c r="P639" s="24" t="str" cm="1">
        <f t="array" ref="P639">_xlfn.IFS(O639&lt;=6,"Detractors",AND(O639&gt;=7,O639&lt;=8),"Passives",AND(O639&gt;8,O639&lt;=10),"Promoters",O639="Not Available","NA")</f>
        <v>Detractors</v>
      </c>
    </row>
    <row r="640" spans="1:16" ht="14.25" customHeight="1" x14ac:dyDescent="0.3">
      <c r="A640" s="42" t="s">
        <v>666</v>
      </c>
      <c r="B640" s="2" t="s">
        <v>19</v>
      </c>
      <c r="C640" s="2" t="s">
        <v>30</v>
      </c>
      <c r="D640" s="3">
        <v>45958</v>
      </c>
      <c r="E640" s="3">
        <v>45962</v>
      </c>
      <c r="F640" s="3">
        <v>45965</v>
      </c>
      <c r="G640" s="3">
        <v>45969</v>
      </c>
      <c r="H640" s="23" t="str">
        <f t="shared" si="9"/>
        <v>Delivered</v>
      </c>
      <c r="I640" s="2" t="s">
        <v>17</v>
      </c>
      <c r="J640" s="24" t="s">
        <v>1054</v>
      </c>
      <c r="K640" s="3">
        <v>45988</v>
      </c>
      <c r="L640" s="2">
        <v>4</v>
      </c>
      <c r="M640" s="2">
        <v>3</v>
      </c>
      <c r="N640" s="2">
        <v>4</v>
      </c>
      <c r="O640" s="36">
        <v>1</v>
      </c>
      <c r="P640" s="24" t="str" cm="1">
        <f t="array" ref="P640">_xlfn.IFS(O640&lt;=6,"Detractors",AND(O640&gt;=7,O640&lt;=8),"Passives",AND(O640&gt;8,O640&lt;=10),"Promoters",O640="Not Available","NA")</f>
        <v>Detractors</v>
      </c>
    </row>
    <row r="641" spans="1:16" ht="14.25" customHeight="1" x14ac:dyDescent="0.3">
      <c r="A641" s="2" t="s">
        <v>667</v>
      </c>
      <c r="B641" s="2" t="s">
        <v>21</v>
      </c>
      <c r="C641" s="2" t="s">
        <v>16</v>
      </c>
      <c r="D641" s="3">
        <v>45940</v>
      </c>
      <c r="E641" s="3">
        <v>45942</v>
      </c>
      <c r="F641" s="3">
        <v>45945</v>
      </c>
      <c r="G641" s="3">
        <v>45950</v>
      </c>
      <c r="H641" s="23" t="str">
        <f t="shared" si="9"/>
        <v>Delivered</v>
      </c>
      <c r="I641" s="2" t="s">
        <v>17</v>
      </c>
      <c r="J641" s="24" t="s">
        <v>1054</v>
      </c>
      <c r="K641" s="3">
        <v>45963</v>
      </c>
      <c r="L641" s="2">
        <v>2</v>
      </c>
      <c r="M641" s="2">
        <v>3</v>
      </c>
      <c r="N641" s="2">
        <v>5</v>
      </c>
      <c r="O641" s="36">
        <v>8</v>
      </c>
      <c r="P641" s="24" t="str" cm="1">
        <f t="array" ref="P641">_xlfn.IFS(O641&lt;=6,"Detractors",AND(O641&gt;=7,O641&lt;=8),"Passives",AND(O641&gt;8,O641&lt;=10),"Promoters",O641="Not Available","NA")</f>
        <v>Passives</v>
      </c>
    </row>
    <row r="642" spans="1:16" ht="14.25" customHeight="1" x14ac:dyDescent="0.3">
      <c r="A642" s="2" t="s">
        <v>668</v>
      </c>
      <c r="B642" s="2" t="s">
        <v>19</v>
      </c>
      <c r="C642" s="2" t="s">
        <v>22</v>
      </c>
      <c r="D642" s="3">
        <v>45937</v>
      </c>
      <c r="H642" s="23" t="str">
        <f t="shared" si="9"/>
        <v>Not Delivered</v>
      </c>
      <c r="I642" s="2" t="s">
        <v>23</v>
      </c>
      <c r="J642" s="2" t="s">
        <v>26</v>
      </c>
      <c r="L642">
        <v>0</v>
      </c>
      <c r="M642">
        <v>0</v>
      </c>
      <c r="N642">
        <v>0</v>
      </c>
      <c r="O642" t="s">
        <v>1080</v>
      </c>
      <c r="P642" s="24" t="str" cm="1">
        <f t="array" ref="P642">_xlfn.IFS(O642&lt;=6,"Detractors",AND(O642&gt;=7,O642&lt;=8),"Passives",AND(O642&gt;8,O642&lt;=10),"Promoters",O642="Not Available","NA")</f>
        <v>NA</v>
      </c>
    </row>
    <row r="643" spans="1:16" ht="14.25" customHeight="1" x14ac:dyDescent="0.3">
      <c r="A643" s="2" t="s">
        <v>669</v>
      </c>
      <c r="B643" s="2" t="s">
        <v>19</v>
      </c>
      <c r="C643" s="2" t="s">
        <v>16</v>
      </c>
      <c r="D643" s="3">
        <v>45943</v>
      </c>
      <c r="E643" s="3">
        <v>45947</v>
      </c>
      <c r="F643" s="3">
        <v>45951</v>
      </c>
      <c r="G643" s="3">
        <v>45954</v>
      </c>
      <c r="H643" s="23" t="str">
        <f t="shared" ref="H643:H706" si="10">IF(G643="", "Not Delivered", "Delivered")</f>
        <v>Delivered</v>
      </c>
      <c r="I643" s="2" t="s">
        <v>17</v>
      </c>
      <c r="J643" s="24" t="s">
        <v>1054</v>
      </c>
      <c r="K643" s="3">
        <v>45979</v>
      </c>
      <c r="L643" s="2">
        <v>4</v>
      </c>
      <c r="M643" s="2">
        <v>4</v>
      </c>
      <c r="N643" s="2">
        <v>3</v>
      </c>
      <c r="O643" s="36">
        <v>9</v>
      </c>
      <c r="P643" s="24" t="str" cm="1">
        <f t="array" ref="P643">_xlfn.IFS(O643&lt;=6,"Detractors",AND(O643&gt;=7,O643&lt;=8),"Passives",AND(O643&gt;8,O643&lt;=10),"Promoters",O643="Not Available","NA")</f>
        <v>Promoters</v>
      </c>
    </row>
    <row r="644" spans="1:16" ht="14.25" customHeight="1" x14ac:dyDescent="0.3">
      <c r="A644" s="2" t="s">
        <v>670</v>
      </c>
      <c r="B644" s="2" t="s">
        <v>21</v>
      </c>
      <c r="C644" s="2" t="s">
        <v>16</v>
      </c>
      <c r="D644" s="3">
        <v>45958</v>
      </c>
      <c r="E644" s="3">
        <v>45961</v>
      </c>
      <c r="F644" s="3">
        <v>45962</v>
      </c>
      <c r="G644" s="3">
        <v>45965</v>
      </c>
      <c r="H644" s="23" t="str">
        <f t="shared" si="10"/>
        <v>Delivered</v>
      </c>
      <c r="I644" s="2" t="s">
        <v>17</v>
      </c>
      <c r="J644" s="24" t="s">
        <v>1054</v>
      </c>
      <c r="K644" s="3">
        <v>45979</v>
      </c>
      <c r="L644" s="2">
        <v>3</v>
      </c>
      <c r="M644" s="2">
        <v>1</v>
      </c>
      <c r="N644" s="2">
        <v>3</v>
      </c>
      <c r="O644" s="36">
        <v>4</v>
      </c>
      <c r="P644" s="24" t="str" cm="1">
        <f t="array" ref="P644">_xlfn.IFS(O644&lt;=6,"Detractors",AND(O644&gt;=7,O644&lt;=8),"Passives",AND(O644&gt;8,O644&lt;=10),"Promoters",O644="Not Available","NA")</f>
        <v>Detractors</v>
      </c>
    </row>
    <row r="645" spans="1:16" ht="14.25" customHeight="1" x14ac:dyDescent="0.3">
      <c r="A645" s="42" t="s">
        <v>671</v>
      </c>
      <c r="B645" s="2" t="s">
        <v>19</v>
      </c>
      <c r="C645" s="2" t="s">
        <v>30</v>
      </c>
      <c r="D645" s="3">
        <v>45946</v>
      </c>
      <c r="E645" s="3">
        <v>45950</v>
      </c>
      <c r="F645" s="3">
        <v>45953</v>
      </c>
      <c r="G645" s="3">
        <v>45955</v>
      </c>
      <c r="H645" s="23" t="str">
        <f t="shared" si="10"/>
        <v>Delivered</v>
      </c>
      <c r="I645" s="2" t="s">
        <v>17</v>
      </c>
      <c r="J645" s="24" t="s">
        <v>1054</v>
      </c>
      <c r="K645" s="3">
        <v>45973</v>
      </c>
      <c r="L645" s="2">
        <v>4</v>
      </c>
      <c r="M645" s="2">
        <v>3</v>
      </c>
      <c r="N645" s="2">
        <v>2</v>
      </c>
      <c r="O645" s="36">
        <v>4</v>
      </c>
      <c r="P645" s="24" t="str" cm="1">
        <f t="array" ref="P645">_xlfn.IFS(O645&lt;=6,"Detractors",AND(O645&gt;=7,O645&lt;=8),"Passives",AND(O645&gt;8,O645&lt;=10),"Promoters",O645="Not Available","NA")</f>
        <v>Detractors</v>
      </c>
    </row>
    <row r="646" spans="1:16" ht="14.25" customHeight="1" x14ac:dyDescent="0.3">
      <c r="A646" s="42" t="s">
        <v>672</v>
      </c>
      <c r="B646" s="2" t="s">
        <v>21</v>
      </c>
      <c r="C646" s="2" t="s">
        <v>30</v>
      </c>
      <c r="D646" s="3">
        <v>45934</v>
      </c>
      <c r="E646" s="3">
        <v>45935</v>
      </c>
      <c r="F646" s="3">
        <v>45939</v>
      </c>
      <c r="G646" s="3">
        <v>45945</v>
      </c>
      <c r="H646" s="23" t="str">
        <f t="shared" si="10"/>
        <v>Delivered</v>
      </c>
      <c r="I646" s="2" t="s">
        <v>17</v>
      </c>
      <c r="J646" s="24" t="s">
        <v>1054</v>
      </c>
      <c r="K646" s="3">
        <v>45972</v>
      </c>
      <c r="L646" s="2">
        <v>1</v>
      </c>
      <c r="M646" s="2">
        <v>4</v>
      </c>
      <c r="N646" s="2">
        <v>6</v>
      </c>
      <c r="O646" s="36">
        <v>1</v>
      </c>
      <c r="P646" s="24" t="str" cm="1">
        <f t="array" ref="P646">_xlfn.IFS(O646&lt;=6,"Detractors",AND(O646&gt;=7,O646&lt;=8),"Passives",AND(O646&gt;8,O646&lt;=10),"Promoters",O646="Not Available","NA")</f>
        <v>Detractors</v>
      </c>
    </row>
    <row r="647" spans="1:16" ht="14.25" customHeight="1" x14ac:dyDescent="0.3">
      <c r="A647" s="42" t="s">
        <v>673</v>
      </c>
      <c r="B647" s="2" t="s">
        <v>19</v>
      </c>
      <c r="C647" s="2" t="s">
        <v>30</v>
      </c>
      <c r="D647" s="3">
        <v>45938</v>
      </c>
      <c r="E647" s="3">
        <v>45941</v>
      </c>
      <c r="F647" s="3">
        <v>45945</v>
      </c>
      <c r="G647" s="3">
        <v>45952</v>
      </c>
      <c r="H647" s="23" t="str">
        <f t="shared" si="10"/>
        <v>Delivered</v>
      </c>
      <c r="I647" s="2" t="s">
        <v>17</v>
      </c>
      <c r="J647" s="24" t="s">
        <v>1054</v>
      </c>
      <c r="K647" s="3">
        <v>45967</v>
      </c>
      <c r="L647" s="2">
        <v>3</v>
      </c>
      <c r="M647" s="2">
        <v>4</v>
      </c>
      <c r="N647" s="2">
        <v>7</v>
      </c>
      <c r="O647" s="36">
        <v>0</v>
      </c>
      <c r="P647" s="24" t="str" cm="1">
        <f t="array" ref="P647">_xlfn.IFS(O647&lt;=6,"Detractors",AND(O647&gt;=7,O647&lt;=8),"Passives",AND(O647&gt;8,O647&lt;=10),"Promoters",O647="Not Available","NA")</f>
        <v>Detractors</v>
      </c>
    </row>
    <row r="648" spans="1:16" ht="14.25" customHeight="1" x14ac:dyDescent="0.3">
      <c r="A648" s="42" t="s">
        <v>674</v>
      </c>
      <c r="B648" s="2" t="s">
        <v>21</v>
      </c>
      <c r="C648" s="2" t="s">
        <v>30</v>
      </c>
      <c r="D648" s="3">
        <v>45943</v>
      </c>
      <c r="E648" s="3">
        <v>45948</v>
      </c>
      <c r="F648" s="3">
        <v>45953</v>
      </c>
      <c r="G648" s="3">
        <v>45960</v>
      </c>
      <c r="H648" s="23" t="str">
        <f t="shared" si="10"/>
        <v>Delivered</v>
      </c>
      <c r="I648" s="2" t="s">
        <v>17</v>
      </c>
      <c r="J648" s="24" t="s">
        <v>1054</v>
      </c>
      <c r="K648" s="3">
        <v>45980</v>
      </c>
      <c r="L648" s="2">
        <v>5</v>
      </c>
      <c r="M648" s="2">
        <v>5</v>
      </c>
      <c r="N648" s="2">
        <v>7</v>
      </c>
      <c r="O648" s="36">
        <v>6</v>
      </c>
      <c r="P648" s="24" t="str" cm="1">
        <f t="array" ref="P648">_xlfn.IFS(O648&lt;=6,"Detractors",AND(O648&gt;=7,O648&lt;=8),"Passives",AND(O648&gt;8,O648&lt;=10),"Promoters",O648="Not Available","NA")</f>
        <v>Detractors</v>
      </c>
    </row>
    <row r="649" spans="1:16" ht="14.25" customHeight="1" x14ac:dyDescent="0.3">
      <c r="A649" s="2" t="s">
        <v>675</v>
      </c>
      <c r="B649" s="2" t="s">
        <v>15</v>
      </c>
      <c r="C649" s="2" t="s">
        <v>16</v>
      </c>
      <c r="D649" s="3">
        <v>45949</v>
      </c>
      <c r="E649" s="3">
        <v>45953</v>
      </c>
      <c r="F649" s="3">
        <v>45955</v>
      </c>
      <c r="G649" s="3">
        <v>45962</v>
      </c>
      <c r="H649" s="23" t="str">
        <f t="shared" si="10"/>
        <v>Delivered</v>
      </c>
      <c r="I649" s="2" t="s">
        <v>17</v>
      </c>
      <c r="J649" s="24" t="s">
        <v>1054</v>
      </c>
      <c r="K649" s="3">
        <v>45992</v>
      </c>
      <c r="L649" s="2">
        <v>4</v>
      </c>
      <c r="M649" s="2">
        <v>2</v>
      </c>
      <c r="N649" s="2">
        <v>7</v>
      </c>
      <c r="O649" s="36">
        <v>5</v>
      </c>
      <c r="P649" s="24" t="str" cm="1">
        <f t="array" ref="P649">_xlfn.IFS(O649&lt;=6,"Detractors",AND(O649&gt;=7,O649&lt;=8),"Passives",AND(O649&gt;8,O649&lt;=10),"Promoters",O649="Not Available","NA")</f>
        <v>Detractors</v>
      </c>
    </row>
    <row r="650" spans="1:16" ht="14.25" customHeight="1" x14ac:dyDescent="0.3">
      <c r="A650" s="2" t="s">
        <v>676</v>
      </c>
      <c r="B650" s="2" t="s">
        <v>32</v>
      </c>
      <c r="C650" s="2" t="s">
        <v>16</v>
      </c>
      <c r="D650" s="3">
        <v>45942</v>
      </c>
      <c r="E650" s="3">
        <v>45945</v>
      </c>
      <c r="F650" s="3">
        <v>45947</v>
      </c>
      <c r="G650" s="3">
        <v>45952</v>
      </c>
      <c r="H650" s="23" t="str">
        <f t="shared" si="10"/>
        <v>Delivered</v>
      </c>
      <c r="I650" s="2" t="s">
        <v>17</v>
      </c>
      <c r="J650" s="24" t="s">
        <v>1054</v>
      </c>
      <c r="K650" s="3">
        <v>45964</v>
      </c>
      <c r="L650" s="2">
        <v>3</v>
      </c>
      <c r="M650" s="2">
        <v>2</v>
      </c>
      <c r="N650" s="2">
        <v>5</v>
      </c>
      <c r="O650" s="36">
        <v>0</v>
      </c>
      <c r="P650" s="24" t="str" cm="1">
        <f t="array" ref="P650">_xlfn.IFS(O650&lt;=6,"Detractors",AND(O650&gt;=7,O650&lt;=8),"Passives",AND(O650&gt;8,O650&lt;=10),"Promoters",O650="Not Available","NA")</f>
        <v>Detractors</v>
      </c>
    </row>
    <row r="651" spans="1:16" ht="14.25" customHeight="1" x14ac:dyDescent="0.3">
      <c r="A651" s="2" t="s">
        <v>677</v>
      </c>
      <c r="B651" s="2" t="s">
        <v>21</v>
      </c>
      <c r="C651" s="2" t="s">
        <v>16</v>
      </c>
      <c r="D651" s="3">
        <v>45949</v>
      </c>
      <c r="E651" s="3">
        <v>45950</v>
      </c>
      <c r="F651" s="3">
        <v>45953</v>
      </c>
      <c r="G651" s="3">
        <v>45956</v>
      </c>
      <c r="H651" s="23" t="str">
        <f t="shared" si="10"/>
        <v>Delivered</v>
      </c>
      <c r="I651" s="2" t="s">
        <v>23</v>
      </c>
      <c r="J651" s="2" t="s">
        <v>24</v>
      </c>
      <c r="L651" s="2">
        <v>1</v>
      </c>
      <c r="M651" s="2">
        <v>3</v>
      </c>
      <c r="N651" s="2">
        <v>3</v>
      </c>
      <c r="O651" t="s">
        <v>1080</v>
      </c>
      <c r="P651" s="24" t="str" cm="1">
        <f t="array" ref="P651">_xlfn.IFS(O651&lt;=6,"Detractors",AND(O651&gt;=7,O651&lt;=8),"Passives",AND(O651&gt;8,O651&lt;=10),"Promoters",O651="Not Available","NA")</f>
        <v>NA</v>
      </c>
    </row>
    <row r="652" spans="1:16" ht="14.25" customHeight="1" x14ac:dyDescent="0.3">
      <c r="A652" s="2" t="s">
        <v>678</v>
      </c>
      <c r="B652" s="2" t="s">
        <v>21</v>
      </c>
      <c r="C652" s="2" t="s">
        <v>30</v>
      </c>
      <c r="D652" s="3">
        <v>45940</v>
      </c>
      <c r="E652" s="3">
        <v>45941</v>
      </c>
      <c r="F652" s="3">
        <v>45942</v>
      </c>
      <c r="G652" s="3">
        <v>45946</v>
      </c>
      <c r="H652" s="23" t="str">
        <f t="shared" si="10"/>
        <v>Delivered</v>
      </c>
      <c r="I652" s="2" t="s">
        <v>23</v>
      </c>
      <c r="J652" s="2" t="s">
        <v>101</v>
      </c>
      <c r="L652" s="2">
        <v>1</v>
      </c>
      <c r="M652" s="2">
        <v>1</v>
      </c>
      <c r="N652" s="2">
        <v>4</v>
      </c>
      <c r="O652" t="s">
        <v>1080</v>
      </c>
      <c r="P652" s="24" t="str" cm="1">
        <f t="array" ref="P652">_xlfn.IFS(O652&lt;=6,"Detractors",AND(O652&gt;=7,O652&lt;=8),"Passives",AND(O652&gt;8,O652&lt;=10),"Promoters",O652="Not Available","NA")</f>
        <v>NA</v>
      </c>
    </row>
    <row r="653" spans="1:16" ht="14.25" customHeight="1" x14ac:dyDescent="0.3">
      <c r="A653" s="2" t="s">
        <v>679</v>
      </c>
      <c r="B653" s="2" t="s">
        <v>32</v>
      </c>
      <c r="C653" s="2" t="s">
        <v>16</v>
      </c>
      <c r="D653" s="3">
        <v>45953</v>
      </c>
      <c r="E653" s="3">
        <v>45957</v>
      </c>
      <c r="F653" s="3">
        <v>45958</v>
      </c>
      <c r="G653" s="3">
        <v>45961</v>
      </c>
      <c r="H653" s="23" t="str">
        <f t="shared" si="10"/>
        <v>Delivered</v>
      </c>
      <c r="I653" s="2" t="s">
        <v>23</v>
      </c>
      <c r="J653" s="2" t="s">
        <v>101</v>
      </c>
      <c r="L653" s="2">
        <v>4</v>
      </c>
      <c r="M653" s="2">
        <v>1</v>
      </c>
      <c r="N653" s="2">
        <v>3</v>
      </c>
      <c r="O653" t="s">
        <v>1080</v>
      </c>
      <c r="P653" s="24" t="str" cm="1">
        <f t="array" ref="P653">_xlfn.IFS(O653&lt;=6,"Detractors",AND(O653&gt;=7,O653&lt;=8),"Passives",AND(O653&gt;8,O653&lt;=10),"Promoters",O653="Not Available","NA")</f>
        <v>NA</v>
      </c>
    </row>
    <row r="654" spans="1:16" ht="14.25" customHeight="1" x14ac:dyDescent="0.3">
      <c r="A654" s="2" t="s">
        <v>680</v>
      </c>
      <c r="B654" s="2" t="s">
        <v>21</v>
      </c>
      <c r="C654" s="2" t="s">
        <v>22</v>
      </c>
      <c r="D654" s="3">
        <v>45940</v>
      </c>
      <c r="H654" s="23" t="str">
        <f t="shared" si="10"/>
        <v>Not Delivered</v>
      </c>
      <c r="I654" s="2" t="s">
        <v>23</v>
      </c>
      <c r="J654" s="2" t="s">
        <v>26</v>
      </c>
      <c r="L654">
        <v>0</v>
      </c>
      <c r="M654">
        <v>0</v>
      </c>
      <c r="N654">
        <v>0</v>
      </c>
      <c r="O654" t="s">
        <v>1080</v>
      </c>
      <c r="P654" s="24" t="str" cm="1">
        <f t="array" ref="P654">_xlfn.IFS(O654&lt;=6,"Detractors",AND(O654&gt;=7,O654&lt;=8),"Passives",AND(O654&gt;8,O654&lt;=10),"Promoters",O654="Not Available","NA")</f>
        <v>NA</v>
      </c>
    </row>
    <row r="655" spans="1:16" ht="14.25" customHeight="1" x14ac:dyDescent="0.3">
      <c r="A655" s="42" t="s">
        <v>681</v>
      </c>
      <c r="B655" s="2" t="s">
        <v>21</v>
      </c>
      <c r="C655" s="2" t="s">
        <v>30</v>
      </c>
      <c r="D655" s="3">
        <v>45931</v>
      </c>
      <c r="E655" s="3">
        <v>45934</v>
      </c>
      <c r="F655" s="3">
        <v>45935</v>
      </c>
      <c r="G655" s="3">
        <v>45940</v>
      </c>
      <c r="H655" s="23" t="str">
        <f t="shared" si="10"/>
        <v>Delivered</v>
      </c>
      <c r="I655" s="2" t="s">
        <v>17</v>
      </c>
      <c r="J655" s="24" t="s">
        <v>1054</v>
      </c>
      <c r="K655" s="3">
        <v>45957</v>
      </c>
      <c r="L655" s="2">
        <v>3</v>
      </c>
      <c r="M655" s="2">
        <v>1</v>
      </c>
      <c r="N655" s="2">
        <v>5</v>
      </c>
      <c r="O655" s="36">
        <v>3</v>
      </c>
      <c r="P655" s="24" t="str" cm="1">
        <f t="array" ref="P655">_xlfn.IFS(O655&lt;=6,"Detractors",AND(O655&gt;=7,O655&lt;=8),"Passives",AND(O655&gt;8,O655&lt;=10),"Promoters",O655="Not Available","NA")</f>
        <v>Detractors</v>
      </c>
    </row>
    <row r="656" spans="1:16" ht="14.25" customHeight="1" x14ac:dyDescent="0.3">
      <c r="A656" s="2" t="s">
        <v>682</v>
      </c>
      <c r="B656" s="2" t="s">
        <v>19</v>
      </c>
      <c r="C656" s="2" t="s">
        <v>22</v>
      </c>
      <c r="D656" s="3">
        <v>45957</v>
      </c>
      <c r="H656" s="23" t="str">
        <f t="shared" si="10"/>
        <v>Not Delivered</v>
      </c>
      <c r="I656" s="2" t="s">
        <v>23</v>
      </c>
      <c r="J656" s="2" t="s">
        <v>63</v>
      </c>
      <c r="L656">
        <v>0</v>
      </c>
      <c r="M656">
        <v>0</v>
      </c>
      <c r="N656">
        <v>0</v>
      </c>
      <c r="O656" s="36" t="s">
        <v>1080</v>
      </c>
      <c r="P656" s="24" t="str" cm="1">
        <f t="array" ref="P656">_xlfn.IFS(O656&lt;=6,"Detractors",AND(O656&gt;=7,O656&lt;=8),"Passives",AND(O656&gt;8,O656&lt;=10),"Promoters",O656="Not Available","NA")</f>
        <v>NA</v>
      </c>
    </row>
    <row r="657" spans="1:16" ht="14.25" customHeight="1" x14ac:dyDescent="0.3">
      <c r="A657" s="2" t="s">
        <v>683</v>
      </c>
      <c r="B657" s="2" t="s">
        <v>32</v>
      </c>
      <c r="C657" s="2" t="s">
        <v>22</v>
      </c>
      <c r="D657" s="3">
        <v>45952</v>
      </c>
      <c r="H657" s="23" t="str">
        <f t="shared" si="10"/>
        <v>Not Delivered</v>
      </c>
      <c r="I657" s="2" t="s">
        <v>23</v>
      </c>
      <c r="J657" s="2" t="s">
        <v>101</v>
      </c>
      <c r="L657">
        <v>0</v>
      </c>
      <c r="M657">
        <v>0</v>
      </c>
      <c r="N657">
        <v>0</v>
      </c>
      <c r="O657" s="36" t="s">
        <v>1080</v>
      </c>
      <c r="P657" s="24" t="str" cm="1">
        <f t="array" ref="P657">_xlfn.IFS(O657&lt;=6,"Detractors",AND(O657&gt;=7,O657&lt;=8),"Passives",AND(O657&gt;8,O657&lt;=10),"Promoters",O657="Not Available","NA")</f>
        <v>NA</v>
      </c>
    </row>
    <row r="658" spans="1:16" ht="14.25" customHeight="1" x14ac:dyDescent="0.3">
      <c r="A658" s="42" t="s">
        <v>684</v>
      </c>
      <c r="B658" s="2" t="s">
        <v>15</v>
      </c>
      <c r="C658" s="2" t="s">
        <v>30</v>
      </c>
      <c r="D658" s="3">
        <v>45943</v>
      </c>
      <c r="E658" s="3">
        <v>45948</v>
      </c>
      <c r="F658" s="3">
        <v>45952</v>
      </c>
      <c r="G658" s="3">
        <v>45959</v>
      </c>
      <c r="H658" s="23" t="str">
        <f t="shared" si="10"/>
        <v>Delivered</v>
      </c>
      <c r="I658" s="2" t="s">
        <v>17</v>
      </c>
      <c r="J658" s="24" t="s">
        <v>1054</v>
      </c>
      <c r="K658" s="3">
        <v>45980</v>
      </c>
      <c r="L658" s="2">
        <v>5</v>
      </c>
      <c r="M658" s="2">
        <v>4</v>
      </c>
      <c r="N658" s="2">
        <v>7</v>
      </c>
      <c r="O658" s="36">
        <v>2</v>
      </c>
      <c r="P658" s="24" t="str" cm="1">
        <f t="array" ref="P658">_xlfn.IFS(O658&lt;=6,"Detractors",AND(O658&gt;=7,O658&lt;=8),"Passives",AND(O658&gt;8,O658&lt;=10),"Promoters",O658="Not Available","NA")</f>
        <v>Detractors</v>
      </c>
    </row>
    <row r="659" spans="1:16" ht="14.25" customHeight="1" x14ac:dyDescent="0.3">
      <c r="A659" s="2" t="s">
        <v>685</v>
      </c>
      <c r="B659" s="2" t="s">
        <v>21</v>
      </c>
      <c r="C659" s="2" t="s">
        <v>16</v>
      </c>
      <c r="D659" s="3">
        <v>45939</v>
      </c>
      <c r="E659" s="3">
        <v>45941</v>
      </c>
      <c r="F659" s="3">
        <v>45945</v>
      </c>
      <c r="G659" s="3">
        <v>45949</v>
      </c>
      <c r="H659" s="23" t="str">
        <f t="shared" si="10"/>
        <v>Delivered</v>
      </c>
      <c r="I659" s="2" t="s">
        <v>23</v>
      </c>
      <c r="J659" s="2" t="s">
        <v>24</v>
      </c>
      <c r="L659" s="2">
        <v>2</v>
      </c>
      <c r="M659" s="2">
        <v>4</v>
      </c>
      <c r="N659" s="2">
        <v>4</v>
      </c>
      <c r="O659" s="36" t="s">
        <v>1080</v>
      </c>
      <c r="P659" s="24" t="str" cm="1">
        <f t="array" ref="P659">_xlfn.IFS(O659&lt;=6,"Detractors",AND(O659&gt;=7,O659&lt;=8),"Passives",AND(O659&gt;8,O659&lt;=10),"Promoters",O659="Not Available","NA")</f>
        <v>NA</v>
      </c>
    </row>
    <row r="660" spans="1:16" ht="14.25" customHeight="1" x14ac:dyDescent="0.3">
      <c r="A660" s="2" t="s">
        <v>686</v>
      </c>
      <c r="B660" s="2" t="s">
        <v>32</v>
      </c>
      <c r="C660" s="2" t="s">
        <v>16</v>
      </c>
      <c r="D660" s="3">
        <v>45931</v>
      </c>
      <c r="E660" s="3">
        <v>45932</v>
      </c>
      <c r="F660" s="3">
        <v>45936</v>
      </c>
      <c r="G660" s="3">
        <v>45940</v>
      </c>
      <c r="H660" s="23" t="str">
        <f t="shared" si="10"/>
        <v>Delivered</v>
      </c>
      <c r="I660" s="2" t="s">
        <v>23</v>
      </c>
      <c r="J660" s="2" t="s">
        <v>101</v>
      </c>
      <c r="L660" s="2">
        <v>1</v>
      </c>
      <c r="M660" s="2">
        <v>4</v>
      </c>
      <c r="N660" s="2">
        <v>4</v>
      </c>
      <c r="O660" s="36" t="s">
        <v>1080</v>
      </c>
      <c r="P660" s="24" t="str" cm="1">
        <f t="array" ref="P660">_xlfn.IFS(O660&lt;=6,"Detractors",AND(O660&gt;=7,O660&lt;=8),"Passives",AND(O660&gt;8,O660&lt;=10),"Promoters",O660="Not Available","NA")</f>
        <v>NA</v>
      </c>
    </row>
    <row r="661" spans="1:16" ht="14.25" customHeight="1" x14ac:dyDescent="0.3">
      <c r="A661" s="2" t="s">
        <v>687</v>
      </c>
      <c r="B661" s="2" t="s">
        <v>19</v>
      </c>
      <c r="C661" s="2" t="s">
        <v>16</v>
      </c>
      <c r="D661" s="3">
        <v>45949</v>
      </c>
      <c r="E661" s="3">
        <v>45951</v>
      </c>
      <c r="F661" s="3">
        <v>45956</v>
      </c>
      <c r="G661" s="3">
        <v>45958</v>
      </c>
      <c r="H661" s="23" t="str">
        <f t="shared" si="10"/>
        <v>Delivered</v>
      </c>
      <c r="I661" s="2" t="s">
        <v>17</v>
      </c>
      <c r="J661" s="24" t="s">
        <v>1054</v>
      </c>
      <c r="K661" s="3">
        <v>45975</v>
      </c>
      <c r="L661" s="2">
        <v>2</v>
      </c>
      <c r="M661" s="2">
        <v>5</v>
      </c>
      <c r="N661" s="2">
        <v>2</v>
      </c>
      <c r="O661" s="36">
        <v>2</v>
      </c>
      <c r="P661" s="24" t="str" cm="1">
        <f t="array" ref="P661">_xlfn.IFS(O661&lt;=6,"Detractors",AND(O661&gt;=7,O661&lt;=8),"Passives",AND(O661&gt;8,O661&lt;=10),"Promoters",O661="Not Available","NA")</f>
        <v>Detractors</v>
      </c>
    </row>
    <row r="662" spans="1:16" ht="14.25" customHeight="1" x14ac:dyDescent="0.3">
      <c r="A662" s="2" t="s">
        <v>688</v>
      </c>
      <c r="B662" s="2" t="s">
        <v>15</v>
      </c>
      <c r="C662" s="2" t="s">
        <v>16</v>
      </c>
      <c r="D662" s="3">
        <v>45958</v>
      </c>
      <c r="E662" s="3">
        <v>45963</v>
      </c>
      <c r="F662" s="3">
        <v>45967</v>
      </c>
      <c r="G662" s="3">
        <v>45973</v>
      </c>
      <c r="H662" s="23" t="str">
        <f t="shared" si="10"/>
        <v>Delivered</v>
      </c>
      <c r="I662" s="2" t="s">
        <v>17</v>
      </c>
      <c r="J662" s="24" t="s">
        <v>1054</v>
      </c>
      <c r="K662" s="3">
        <v>45992</v>
      </c>
      <c r="L662" s="2">
        <v>5</v>
      </c>
      <c r="M662" s="2">
        <v>4</v>
      </c>
      <c r="N662" s="2">
        <v>6</v>
      </c>
      <c r="O662" s="36">
        <v>1</v>
      </c>
      <c r="P662" s="24" t="str" cm="1">
        <f t="array" ref="P662">_xlfn.IFS(O662&lt;=6,"Detractors",AND(O662&gt;=7,O662&lt;=8),"Passives",AND(O662&gt;8,O662&lt;=10),"Promoters",O662="Not Available","NA")</f>
        <v>Detractors</v>
      </c>
    </row>
    <row r="663" spans="1:16" ht="14.25" customHeight="1" x14ac:dyDescent="0.3">
      <c r="A663" s="2" t="s">
        <v>689</v>
      </c>
      <c r="B663" s="2" t="s">
        <v>32</v>
      </c>
      <c r="C663" s="2" t="s">
        <v>16</v>
      </c>
      <c r="D663" s="3">
        <v>45952</v>
      </c>
      <c r="E663" s="3">
        <v>45956</v>
      </c>
      <c r="F663" s="3">
        <v>45957</v>
      </c>
      <c r="G663" s="3">
        <v>45961</v>
      </c>
      <c r="H663" s="23" t="str">
        <f t="shared" si="10"/>
        <v>Delivered</v>
      </c>
      <c r="I663" s="2" t="s">
        <v>17</v>
      </c>
      <c r="J663" s="24" t="s">
        <v>1054</v>
      </c>
      <c r="K663" s="3">
        <v>45984</v>
      </c>
      <c r="L663" s="2">
        <v>4</v>
      </c>
      <c r="M663" s="2">
        <v>1</v>
      </c>
      <c r="N663" s="2">
        <v>4</v>
      </c>
      <c r="O663" s="36">
        <v>9</v>
      </c>
      <c r="P663" s="24" t="str" cm="1">
        <f t="array" ref="P663">_xlfn.IFS(O663&lt;=6,"Detractors",AND(O663&gt;=7,O663&lt;=8),"Passives",AND(O663&gt;8,O663&lt;=10),"Promoters",O663="Not Available","NA")</f>
        <v>Promoters</v>
      </c>
    </row>
    <row r="664" spans="1:16" ht="14.25" customHeight="1" x14ac:dyDescent="0.3">
      <c r="A664" s="2" t="s">
        <v>690</v>
      </c>
      <c r="B664" s="2" t="s">
        <v>15</v>
      </c>
      <c r="C664" s="2" t="s">
        <v>16</v>
      </c>
      <c r="D664" s="3">
        <v>45955</v>
      </c>
      <c r="E664" s="3">
        <v>45956</v>
      </c>
      <c r="F664" s="3">
        <v>45957</v>
      </c>
      <c r="G664" s="3">
        <v>45959</v>
      </c>
      <c r="H664" s="23" t="str">
        <f t="shared" si="10"/>
        <v>Delivered</v>
      </c>
      <c r="I664" s="2" t="s">
        <v>17</v>
      </c>
      <c r="J664" s="24" t="s">
        <v>1054</v>
      </c>
      <c r="K664" s="3">
        <v>45979</v>
      </c>
      <c r="L664" s="2">
        <v>1</v>
      </c>
      <c r="M664" s="2">
        <v>1</v>
      </c>
      <c r="N664" s="2">
        <v>2</v>
      </c>
      <c r="O664" s="36">
        <v>5</v>
      </c>
      <c r="P664" s="24" t="str" cm="1">
        <f t="array" ref="P664">_xlfn.IFS(O664&lt;=6,"Detractors",AND(O664&gt;=7,O664&lt;=8),"Passives",AND(O664&gt;8,O664&lt;=10),"Promoters",O664="Not Available","NA")</f>
        <v>Detractors</v>
      </c>
    </row>
    <row r="665" spans="1:16" ht="14.25" customHeight="1" x14ac:dyDescent="0.3">
      <c r="A665" s="2" t="s">
        <v>691</v>
      </c>
      <c r="B665" s="2" t="s">
        <v>15</v>
      </c>
      <c r="C665" s="2" t="s">
        <v>16</v>
      </c>
      <c r="D665" s="3">
        <v>45954</v>
      </c>
      <c r="E665" s="3">
        <v>45956</v>
      </c>
      <c r="F665" s="3">
        <v>45958</v>
      </c>
      <c r="G665" s="3">
        <v>45964</v>
      </c>
      <c r="H665" s="23" t="str">
        <f t="shared" si="10"/>
        <v>Delivered</v>
      </c>
      <c r="I665" s="2" t="s">
        <v>17</v>
      </c>
      <c r="J665" s="24" t="s">
        <v>1054</v>
      </c>
      <c r="K665" s="3">
        <v>45985</v>
      </c>
      <c r="L665" s="2">
        <v>2</v>
      </c>
      <c r="M665" s="2">
        <v>2</v>
      </c>
      <c r="N665" s="2">
        <v>6</v>
      </c>
      <c r="O665" s="36">
        <v>4</v>
      </c>
      <c r="P665" s="24" t="str" cm="1">
        <f t="array" ref="P665">_xlfn.IFS(O665&lt;=6,"Detractors",AND(O665&gt;=7,O665&lt;=8),"Passives",AND(O665&gt;8,O665&lt;=10),"Promoters",O665="Not Available","NA")</f>
        <v>Detractors</v>
      </c>
    </row>
    <row r="666" spans="1:16" ht="14.25" customHeight="1" x14ac:dyDescent="0.3">
      <c r="A666" s="2" t="s">
        <v>692</v>
      </c>
      <c r="B666" s="2" t="s">
        <v>15</v>
      </c>
      <c r="C666" s="2" t="s">
        <v>16</v>
      </c>
      <c r="D666" s="3">
        <v>45932</v>
      </c>
      <c r="E666" s="3">
        <v>45933</v>
      </c>
      <c r="F666" s="3">
        <v>45934</v>
      </c>
      <c r="G666" s="3">
        <v>45941</v>
      </c>
      <c r="H666" s="23" t="str">
        <f t="shared" si="10"/>
        <v>Delivered</v>
      </c>
      <c r="I666" s="2" t="s">
        <v>17</v>
      </c>
      <c r="J666" s="24" t="s">
        <v>1054</v>
      </c>
      <c r="K666" s="3">
        <v>45959</v>
      </c>
      <c r="L666" s="2">
        <v>1</v>
      </c>
      <c r="M666" s="2">
        <v>1</v>
      </c>
      <c r="N666" s="2">
        <v>7</v>
      </c>
      <c r="O666" s="36">
        <v>9</v>
      </c>
      <c r="P666" s="24" t="str" cm="1">
        <f t="array" ref="P666">_xlfn.IFS(O666&lt;=6,"Detractors",AND(O666&gt;=7,O666&lt;=8),"Passives",AND(O666&gt;8,O666&lt;=10),"Promoters",O666="Not Available","NA")</f>
        <v>Promoters</v>
      </c>
    </row>
    <row r="667" spans="1:16" ht="14.25" customHeight="1" x14ac:dyDescent="0.3">
      <c r="A667" s="2" t="s">
        <v>693</v>
      </c>
      <c r="B667" s="2" t="s">
        <v>21</v>
      </c>
      <c r="C667" s="2" t="s">
        <v>16</v>
      </c>
      <c r="D667" s="3">
        <v>45960</v>
      </c>
      <c r="E667" s="3">
        <v>45962</v>
      </c>
      <c r="F667" s="3">
        <v>45966</v>
      </c>
      <c r="G667" s="3">
        <v>45968</v>
      </c>
      <c r="H667" s="23" t="str">
        <f t="shared" si="10"/>
        <v>Delivered</v>
      </c>
      <c r="I667" s="2" t="s">
        <v>17</v>
      </c>
      <c r="J667" s="24" t="s">
        <v>1054</v>
      </c>
      <c r="K667" s="3">
        <v>45996</v>
      </c>
      <c r="L667" s="2">
        <v>2</v>
      </c>
      <c r="M667" s="2">
        <v>4</v>
      </c>
      <c r="N667" s="2">
        <v>2</v>
      </c>
      <c r="O667" s="36">
        <v>2</v>
      </c>
      <c r="P667" s="24" t="str" cm="1">
        <f t="array" ref="P667">_xlfn.IFS(O667&lt;=6,"Detractors",AND(O667&gt;=7,O667&lt;=8),"Passives",AND(O667&gt;8,O667&lt;=10),"Promoters",O667="Not Available","NA")</f>
        <v>Detractors</v>
      </c>
    </row>
    <row r="668" spans="1:16" ht="14.25" customHeight="1" x14ac:dyDescent="0.3">
      <c r="A668" s="2" t="s">
        <v>694</v>
      </c>
      <c r="B668" s="2" t="s">
        <v>21</v>
      </c>
      <c r="C668" s="2" t="s">
        <v>16</v>
      </c>
      <c r="D668" s="3">
        <v>45950</v>
      </c>
      <c r="E668" s="3">
        <v>45953</v>
      </c>
      <c r="F668" s="3">
        <v>45957</v>
      </c>
      <c r="G668" s="3">
        <v>45960</v>
      </c>
      <c r="H668" s="23" t="str">
        <f t="shared" si="10"/>
        <v>Delivered</v>
      </c>
      <c r="I668" s="2" t="s">
        <v>17</v>
      </c>
      <c r="J668" s="24" t="s">
        <v>1054</v>
      </c>
      <c r="K668" s="3">
        <v>45979</v>
      </c>
      <c r="L668" s="2">
        <v>3</v>
      </c>
      <c r="M668" s="2">
        <v>4</v>
      </c>
      <c r="N668" s="2">
        <v>3</v>
      </c>
      <c r="O668" s="36">
        <v>7</v>
      </c>
      <c r="P668" s="24" t="str" cm="1">
        <f t="array" ref="P668">_xlfn.IFS(O668&lt;=6,"Detractors",AND(O668&gt;=7,O668&lt;=8),"Passives",AND(O668&gt;8,O668&lt;=10),"Promoters",O668="Not Available","NA")</f>
        <v>Passives</v>
      </c>
    </row>
    <row r="669" spans="1:16" ht="14.25" customHeight="1" x14ac:dyDescent="0.3">
      <c r="A669" s="2" t="s">
        <v>695</v>
      </c>
      <c r="B669" s="2" t="s">
        <v>19</v>
      </c>
      <c r="C669" s="2" t="s">
        <v>16</v>
      </c>
      <c r="D669" s="3">
        <v>45954</v>
      </c>
      <c r="E669" s="3">
        <v>45957</v>
      </c>
      <c r="F669" s="3">
        <v>45960</v>
      </c>
      <c r="G669" s="3">
        <v>45963</v>
      </c>
      <c r="H669" s="23" t="str">
        <f t="shared" si="10"/>
        <v>Delivered</v>
      </c>
      <c r="I669" s="2" t="s">
        <v>17</v>
      </c>
      <c r="J669" s="24" t="s">
        <v>1054</v>
      </c>
      <c r="K669" s="3">
        <v>45987</v>
      </c>
      <c r="L669" s="2">
        <v>3</v>
      </c>
      <c r="M669" s="2">
        <v>3</v>
      </c>
      <c r="N669" s="2">
        <v>3</v>
      </c>
      <c r="O669" s="36">
        <v>0</v>
      </c>
      <c r="P669" s="24" t="str" cm="1">
        <f t="array" ref="P669">_xlfn.IFS(O669&lt;=6,"Detractors",AND(O669&gt;=7,O669&lt;=8),"Passives",AND(O669&gt;8,O669&lt;=10),"Promoters",O669="Not Available","NA")</f>
        <v>Detractors</v>
      </c>
    </row>
    <row r="670" spans="1:16" ht="14.25" customHeight="1" x14ac:dyDescent="0.3">
      <c r="A670" s="42" t="s">
        <v>696</v>
      </c>
      <c r="B670" s="2" t="s">
        <v>19</v>
      </c>
      <c r="C670" s="2" t="s">
        <v>30</v>
      </c>
      <c r="D670" s="3">
        <v>45946</v>
      </c>
      <c r="E670" s="3">
        <v>45950</v>
      </c>
      <c r="F670" s="3">
        <v>45955</v>
      </c>
      <c r="G670" s="3">
        <v>45961</v>
      </c>
      <c r="H670" s="23" t="str">
        <f t="shared" si="10"/>
        <v>Delivered</v>
      </c>
      <c r="I670" s="2" t="s">
        <v>17</v>
      </c>
      <c r="J670" s="24" t="s">
        <v>1054</v>
      </c>
      <c r="K670" s="3">
        <v>45974</v>
      </c>
      <c r="L670" s="2">
        <v>4</v>
      </c>
      <c r="M670" s="2">
        <v>5</v>
      </c>
      <c r="N670" s="2">
        <v>6</v>
      </c>
      <c r="O670" s="36">
        <v>2</v>
      </c>
      <c r="P670" s="24" t="str" cm="1">
        <f t="array" ref="P670">_xlfn.IFS(O670&lt;=6,"Detractors",AND(O670&gt;=7,O670&lt;=8),"Passives",AND(O670&gt;8,O670&lt;=10),"Promoters",O670="Not Available","NA")</f>
        <v>Detractors</v>
      </c>
    </row>
    <row r="671" spans="1:16" ht="14.25" customHeight="1" x14ac:dyDescent="0.3">
      <c r="A671" s="2" t="s">
        <v>697</v>
      </c>
      <c r="B671" s="2" t="s">
        <v>32</v>
      </c>
      <c r="C671" s="2" t="s">
        <v>30</v>
      </c>
      <c r="D671" s="3">
        <v>45957</v>
      </c>
      <c r="E671" s="3">
        <v>45962</v>
      </c>
      <c r="F671" s="3">
        <v>45963</v>
      </c>
      <c r="G671" s="3">
        <v>45965</v>
      </c>
      <c r="H671" s="23" t="str">
        <f t="shared" si="10"/>
        <v>Delivered</v>
      </c>
      <c r="I671" s="2" t="s">
        <v>23</v>
      </c>
      <c r="J671" s="2" t="s">
        <v>24</v>
      </c>
      <c r="L671" s="2">
        <v>5</v>
      </c>
      <c r="M671" s="2">
        <v>1</v>
      </c>
      <c r="N671" s="2">
        <v>2</v>
      </c>
      <c r="O671" t="s">
        <v>1080</v>
      </c>
      <c r="P671" s="24" t="str" cm="1">
        <f t="array" ref="P671">_xlfn.IFS(O671&lt;=6,"Detractors",AND(O671&gt;=7,O671&lt;=8),"Passives",AND(O671&gt;8,O671&lt;=10),"Promoters",O671="Not Available","NA")</f>
        <v>NA</v>
      </c>
    </row>
    <row r="672" spans="1:16" ht="14.25" customHeight="1" x14ac:dyDescent="0.3">
      <c r="A672" s="2" t="s">
        <v>698</v>
      </c>
      <c r="B672" s="2" t="s">
        <v>19</v>
      </c>
      <c r="C672" s="2" t="s">
        <v>22</v>
      </c>
      <c r="D672" s="3">
        <v>45959</v>
      </c>
      <c r="H672" s="23" t="str">
        <f t="shared" si="10"/>
        <v>Not Delivered</v>
      </c>
      <c r="I672" s="2" t="s">
        <v>23</v>
      </c>
      <c r="J672" s="2" t="s">
        <v>33</v>
      </c>
      <c r="L672">
        <v>0</v>
      </c>
      <c r="M672">
        <v>0</v>
      </c>
      <c r="N672">
        <v>0</v>
      </c>
      <c r="O672" t="s">
        <v>1080</v>
      </c>
      <c r="P672" s="24" t="str" cm="1">
        <f t="array" ref="P672">_xlfn.IFS(O672&lt;=6,"Detractors",AND(O672&gt;=7,O672&lt;=8),"Passives",AND(O672&gt;8,O672&lt;=10),"Promoters",O672="Not Available","NA")</f>
        <v>NA</v>
      </c>
    </row>
    <row r="673" spans="1:16" ht="14.25" customHeight="1" x14ac:dyDescent="0.3">
      <c r="A673" s="2" t="s">
        <v>699</v>
      </c>
      <c r="B673" s="2" t="s">
        <v>15</v>
      </c>
      <c r="C673" s="2" t="s">
        <v>16</v>
      </c>
      <c r="D673" s="3">
        <v>45959</v>
      </c>
      <c r="E673" s="3">
        <v>45960</v>
      </c>
      <c r="F673" s="3">
        <v>45965</v>
      </c>
      <c r="G673" s="3">
        <v>45970</v>
      </c>
      <c r="H673" s="23" t="str">
        <f t="shared" si="10"/>
        <v>Delivered</v>
      </c>
      <c r="I673" s="2" t="s">
        <v>17</v>
      </c>
      <c r="J673" s="24" t="s">
        <v>1054</v>
      </c>
      <c r="K673" s="3">
        <v>45995</v>
      </c>
      <c r="L673" s="2">
        <v>1</v>
      </c>
      <c r="M673" s="2">
        <v>5</v>
      </c>
      <c r="N673" s="2">
        <v>5</v>
      </c>
      <c r="O673" s="36">
        <v>0</v>
      </c>
      <c r="P673" s="24" t="str" cm="1">
        <f t="array" ref="P673">_xlfn.IFS(O673&lt;=6,"Detractors",AND(O673&gt;=7,O673&lt;=8),"Passives",AND(O673&gt;8,O673&lt;=10),"Promoters",O673="Not Available","NA")</f>
        <v>Detractors</v>
      </c>
    </row>
    <row r="674" spans="1:16" ht="14.25" customHeight="1" x14ac:dyDescent="0.3">
      <c r="A674" s="42" t="s">
        <v>700</v>
      </c>
      <c r="B674" s="2" t="s">
        <v>15</v>
      </c>
      <c r="C674" s="2" t="s">
        <v>30</v>
      </c>
      <c r="D674" s="3">
        <v>45940</v>
      </c>
      <c r="E674" s="3">
        <v>45945</v>
      </c>
      <c r="F674" s="3">
        <v>45946</v>
      </c>
      <c r="G674" s="3">
        <v>45948</v>
      </c>
      <c r="H674" s="23" t="str">
        <f t="shared" si="10"/>
        <v>Delivered</v>
      </c>
      <c r="I674" s="2" t="s">
        <v>17</v>
      </c>
      <c r="J674" s="24" t="s">
        <v>1054</v>
      </c>
      <c r="K674" s="3">
        <v>45959</v>
      </c>
      <c r="L674" s="2">
        <v>5</v>
      </c>
      <c r="M674" s="2">
        <v>1</v>
      </c>
      <c r="N674" s="2">
        <v>2</v>
      </c>
      <c r="O674" s="36">
        <v>6</v>
      </c>
      <c r="P674" s="24" t="str" cm="1">
        <f t="array" ref="P674">_xlfn.IFS(O674&lt;=6,"Detractors",AND(O674&gt;=7,O674&lt;=8),"Passives",AND(O674&gt;8,O674&lt;=10),"Promoters",O674="Not Available","NA")</f>
        <v>Detractors</v>
      </c>
    </row>
    <row r="675" spans="1:16" ht="14.25" customHeight="1" x14ac:dyDescent="0.3">
      <c r="A675" s="42" t="s">
        <v>701</v>
      </c>
      <c r="B675" s="2" t="s">
        <v>21</v>
      </c>
      <c r="C675" s="2" t="s">
        <v>30</v>
      </c>
      <c r="D675" s="3">
        <v>45955</v>
      </c>
      <c r="E675" s="3">
        <v>45957</v>
      </c>
      <c r="F675" s="3">
        <v>45959</v>
      </c>
      <c r="G675" s="3">
        <v>45964</v>
      </c>
      <c r="H675" s="23" t="str">
        <f t="shared" si="10"/>
        <v>Delivered</v>
      </c>
      <c r="I675" s="2" t="s">
        <v>17</v>
      </c>
      <c r="J675" s="24" t="s">
        <v>1054</v>
      </c>
      <c r="K675" s="3">
        <v>45994</v>
      </c>
      <c r="L675" s="2">
        <v>2</v>
      </c>
      <c r="M675" s="2">
        <v>2</v>
      </c>
      <c r="N675" s="2">
        <v>5</v>
      </c>
      <c r="O675" s="36">
        <v>10</v>
      </c>
      <c r="P675" s="24" t="str" cm="1">
        <f t="array" ref="P675">_xlfn.IFS(O675&lt;=6,"Detractors",AND(O675&gt;=7,O675&lt;=8),"Passives",AND(O675&gt;8,O675&lt;=10),"Promoters",O675="Not Available","NA")</f>
        <v>Promoters</v>
      </c>
    </row>
    <row r="676" spans="1:16" ht="14.25" customHeight="1" x14ac:dyDescent="0.3">
      <c r="A676" s="42" t="s">
        <v>702</v>
      </c>
      <c r="B676" s="2" t="s">
        <v>15</v>
      </c>
      <c r="C676" s="2" t="s">
        <v>30</v>
      </c>
      <c r="D676" s="3">
        <v>45956</v>
      </c>
      <c r="E676" s="3">
        <v>45960</v>
      </c>
      <c r="F676" s="3">
        <v>45962</v>
      </c>
      <c r="G676" s="3">
        <v>45966</v>
      </c>
      <c r="H676" s="23" t="str">
        <f t="shared" si="10"/>
        <v>Delivered</v>
      </c>
      <c r="I676" s="2" t="s">
        <v>17</v>
      </c>
      <c r="J676" s="24" t="s">
        <v>1054</v>
      </c>
      <c r="K676" s="3">
        <v>45994</v>
      </c>
      <c r="L676" s="2">
        <v>4</v>
      </c>
      <c r="M676" s="2">
        <v>2</v>
      </c>
      <c r="N676" s="2">
        <v>4</v>
      </c>
      <c r="O676" s="36">
        <v>8</v>
      </c>
      <c r="P676" s="24" t="str" cm="1">
        <f t="array" ref="P676">_xlfn.IFS(O676&lt;=6,"Detractors",AND(O676&gt;=7,O676&lt;=8),"Passives",AND(O676&gt;8,O676&lt;=10),"Promoters",O676="Not Available","NA")</f>
        <v>Passives</v>
      </c>
    </row>
    <row r="677" spans="1:16" ht="14.25" customHeight="1" x14ac:dyDescent="0.3">
      <c r="A677" s="2" t="s">
        <v>703</v>
      </c>
      <c r="B677" s="2" t="s">
        <v>32</v>
      </c>
      <c r="C677" s="2" t="s">
        <v>22</v>
      </c>
      <c r="D677" s="3">
        <v>45938</v>
      </c>
      <c r="H677" s="23" t="str">
        <f t="shared" si="10"/>
        <v>Not Delivered</v>
      </c>
      <c r="I677" s="2" t="s">
        <v>23</v>
      </c>
      <c r="J677" s="2" t="s">
        <v>33</v>
      </c>
      <c r="L677">
        <v>0</v>
      </c>
      <c r="M677">
        <v>0</v>
      </c>
      <c r="N677">
        <v>0</v>
      </c>
      <c r="O677" t="s">
        <v>1080</v>
      </c>
      <c r="P677" s="24" t="str" cm="1">
        <f t="array" ref="P677">_xlfn.IFS(O677&lt;=6,"Detractors",AND(O677&gt;=7,O677&lt;=8),"Passives",AND(O677&gt;8,O677&lt;=10),"Promoters",O677="Not Available","NA")</f>
        <v>NA</v>
      </c>
    </row>
    <row r="678" spans="1:16" ht="14.25" customHeight="1" x14ac:dyDescent="0.3">
      <c r="A678" s="2" t="s">
        <v>704</v>
      </c>
      <c r="B678" s="2" t="s">
        <v>15</v>
      </c>
      <c r="C678" s="2" t="s">
        <v>16</v>
      </c>
      <c r="D678" s="3">
        <v>45950</v>
      </c>
      <c r="E678" s="3">
        <v>45953</v>
      </c>
      <c r="F678" s="3">
        <v>45958</v>
      </c>
      <c r="G678" s="3">
        <v>45962</v>
      </c>
      <c r="H678" s="23" t="str">
        <f t="shared" si="10"/>
        <v>Delivered</v>
      </c>
      <c r="I678" s="2" t="s">
        <v>17</v>
      </c>
      <c r="J678" s="24" t="s">
        <v>1054</v>
      </c>
      <c r="K678" s="3">
        <v>45990</v>
      </c>
      <c r="L678" s="2">
        <v>3</v>
      </c>
      <c r="M678" s="2">
        <v>5</v>
      </c>
      <c r="N678" s="2">
        <v>4</v>
      </c>
      <c r="O678" s="36">
        <v>10</v>
      </c>
      <c r="P678" s="24" t="str" cm="1">
        <f t="array" ref="P678">_xlfn.IFS(O678&lt;=6,"Detractors",AND(O678&gt;=7,O678&lt;=8),"Passives",AND(O678&gt;8,O678&lt;=10),"Promoters",O678="Not Available","NA")</f>
        <v>Promoters</v>
      </c>
    </row>
    <row r="679" spans="1:16" ht="14.25" customHeight="1" x14ac:dyDescent="0.3">
      <c r="A679" s="2" t="s">
        <v>705</v>
      </c>
      <c r="B679" s="2" t="s">
        <v>15</v>
      </c>
      <c r="C679" s="2" t="s">
        <v>22</v>
      </c>
      <c r="D679" s="3">
        <v>45956</v>
      </c>
      <c r="H679" s="23" t="str">
        <f t="shared" si="10"/>
        <v>Not Delivered</v>
      </c>
      <c r="I679" s="2" t="s">
        <v>23</v>
      </c>
      <c r="J679" s="2" t="s">
        <v>24</v>
      </c>
      <c r="L679">
        <v>0</v>
      </c>
      <c r="M679">
        <v>0</v>
      </c>
      <c r="N679">
        <v>0</v>
      </c>
      <c r="O679" t="s">
        <v>1080</v>
      </c>
      <c r="P679" s="24" t="str" cm="1">
        <f t="array" ref="P679">_xlfn.IFS(O679&lt;=6,"Detractors",AND(O679&gt;=7,O679&lt;=8),"Passives",AND(O679&gt;8,O679&lt;=10),"Promoters",O679="Not Available","NA")</f>
        <v>NA</v>
      </c>
    </row>
    <row r="680" spans="1:16" ht="14.25" customHeight="1" x14ac:dyDescent="0.3">
      <c r="A680" s="2" t="s">
        <v>706</v>
      </c>
      <c r="B680" s="2" t="s">
        <v>32</v>
      </c>
      <c r="C680" s="2" t="s">
        <v>16</v>
      </c>
      <c r="D680" s="3">
        <v>45942</v>
      </c>
      <c r="E680" s="3">
        <v>45945</v>
      </c>
      <c r="F680" s="3">
        <v>45949</v>
      </c>
      <c r="G680" s="3">
        <v>45953</v>
      </c>
      <c r="H680" s="23" t="str">
        <f t="shared" si="10"/>
        <v>Delivered</v>
      </c>
      <c r="I680" s="2" t="s">
        <v>23</v>
      </c>
      <c r="J680" s="2" t="s">
        <v>63</v>
      </c>
      <c r="L680" s="2">
        <v>3</v>
      </c>
      <c r="M680" s="2">
        <v>4</v>
      </c>
      <c r="N680" s="2">
        <v>4</v>
      </c>
      <c r="O680" t="s">
        <v>1080</v>
      </c>
      <c r="P680" s="24" t="str" cm="1">
        <f t="array" ref="P680">_xlfn.IFS(O680&lt;=6,"Detractors",AND(O680&gt;=7,O680&lt;=8),"Passives",AND(O680&gt;8,O680&lt;=10),"Promoters",O680="Not Available","NA")</f>
        <v>NA</v>
      </c>
    </row>
    <row r="681" spans="1:16" ht="14.25" customHeight="1" x14ac:dyDescent="0.3">
      <c r="A681" s="2" t="s">
        <v>707</v>
      </c>
      <c r="B681" s="2" t="s">
        <v>19</v>
      </c>
      <c r="C681" s="2" t="s">
        <v>16</v>
      </c>
      <c r="D681" s="3">
        <v>45938</v>
      </c>
      <c r="E681" s="3">
        <v>45942</v>
      </c>
      <c r="F681" s="3">
        <v>45945</v>
      </c>
      <c r="G681" s="3">
        <v>45947</v>
      </c>
      <c r="H681" s="23" t="str">
        <f t="shared" si="10"/>
        <v>Delivered</v>
      </c>
      <c r="I681" s="2" t="s">
        <v>17</v>
      </c>
      <c r="J681" s="24" t="s">
        <v>1054</v>
      </c>
      <c r="K681" s="3">
        <v>45976</v>
      </c>
      <c r="L681" s="2">
        <v>4</v>
      </c>
      <c r="M681" s="2">
        <v>3</v>
      </c>
      <c r="N681" s="2">
        <v>2</v>
      </c>
      <c r="O681" s="36">
        <v>10</v>
      </c>
      <c r="P681" s="24" t="str" cm="1">
        <f t="array" ref="P681">_xlfn.IFS(O681&lt;=6,"Detractors",AND(O681&gt;=7,O681&lt;=8),"Passives",AND(O681&gt;8,O681&lt;=10),"Promoters",O681="Not Available","NA")</f>
        <v>Promoters</v>
      </c>
    </row>
    <row r="682" spans="1:16" ht="14.25" customHeight="1" x14ac:dyDescent="0.3">
      <c r="A682" s="2" t="s">
        <v>708</v>
      </c>
      <c r="B682" s="2" t="s">
        <v>19</v>
      </c>
      <c r="C682" s="2" t="s">
        <v>16</v>
      </c>
      <c r="D682" s="3">
        <v>45951</v>
      </c>
      <c r="E682" s="3">
        <v>45952</v>
      </c>
      <c r="F682" s="3">
        <v>45953</v>
      </c>
      <c r="G682" s="3">
        <v>45959</v>
      </c>
      <c r="H682" s="23" t="str">
        <f t="shared" si="10"/>
        <v>Delivered</v>
      </c>
      <c r="I682" s="2" t="s">
        <v>17</v>
      </c>
      <c r="J682" s="24" t="s">
        <v>1054</v>
      </c>
      <c r="K682" s="3">
        <v>45971</v>
      </c>
      <c r="L682" s="2">
        <v>1</v>
      </c>
      <c r="M682" s="2">
        <v>1</v>
      </c>
      <c r="N682" s="2">
        <v>6</v>
      </c>
      <c r="O682" s="36">
        <v>2</v>
      </c>
      <c r="P682" s="24" t="str" cm="1">
        <f t="array" ref="P682">_xlfn.IFS(O682&lt;=6,"Detractors",AND(O682&gt;=7,O682&lt;=8),"Passives",AND(O682&gt;8,O682&lt;=10),"Promoters",O682="Not Available","NA")</f>
        <v>Detractors</v>
      </c>
    </row>
    <row r="683" spans="1:16" ht="14.25" customHeight="1" x14ac:dyDescent="0.3">
      <c r="A683" s="2" t="s">
        <v>709</v>
      </c>
      <c r="B683" s="2" t="s">
        <v>32</v>
      </c>
      <c r="C683" s="2" t="s">
        <v>16</v>
      </c>
      <c r="D683" s="3">
        <v>45937</v>
      </c>
      <c r="E683" s="3">
        <v>45942</v>
      </c>
      <c r="F683" s="3">
        <v>45943</v>
      </c>
      <c r="G683" s="3">
        <v>45948</v>
      </c>
      <c r="H683" s="23" t="str">
        <f t="shared" si="10"/>
        <v>Delivered</v>
      </c>
      <c r="I683" s="2" t="s">
        <v>17</v>
      </c>
      <c r="J683" s="24" t="s">
        <v>1054</v>
      </c>
      <c r="K683" s="3">
        <v>45973</v>
      </c>
      <c r="L683" s="2">
        <v>5</v>
      </c>
      <c r="M683" s="2">
        <v>1</v>
      </c>
      <c r="N683" s="2">
        <v>5</v>
      </c>
      <c r="O683" s="36">
        <v>9</v>
      </c>
      <c r="P683" s="24" t="str" cm="1">
        <f t="array" ref="P683">_xlfn.IFS(O683&lt;=6,"Detractors",AND(O683&gt;=7,O683&lt;=8),"Passives",AND(O683&gt;8,O683&lt;=10),"Promoters",O683="Not Available","NA")</f>
        <v>Promoters</v>
      </c>
    </row>
    <row r="684" spans="1:16" ht="14.25" customHeight="1" x14ac:dyDescent="0.3">
      <c r="A684" s="42" t="s">
        <v>710</v>
      </c>
      <c r="B684" s="2" t="s">
        <v>21</v>
      </c>
      <c r="C684" s="2" t="s">
        <v>30</v>
      </c>
      <c r="D684" s="3">
        <v>45950</v>
      </c>
      <c r="E684" s="3">
        <v>45952</v>
      </c>
      <c r="F684" s="3">
        <v>45955</v>
      </c>
      <c r="G684" s="3">
        <v>45957</v>
      </c>
      <c r="H684" s="23" t="str">
        <f t="shared" si="10"/>
        <v>Delivered</v>
      </c>
      <c r="I684" s="2" t="s">
        <v>17</v>
      </c>
      <c r="J684" s="24" t="s">
        <v>1054</v>
      </c>
      <c r="K684" s="3">
        <v>45973</v>
      </c>
      <c r="L684" s="2">
        <v>2</v>
      </c>
      <c r="M684" s="2">
        <v>3</v>
      </c>
      <c r="N684" s="2">
        <v>2</v>
      </c>
      <c r="O684" s="36">
        <v>8</v>
      </c>
      <c r="P684" s="24" t="str" cm="1">
        <f t="array" ref="P684">_xlfn.IFS(O684&lt;=6,"Detractors",AND(O684&gt;=7,O684&lt;=8),"Passives",AND(O684&gt;8,O684&lt;=10),"Promoters",O684="Not Available","NA")</f>
        <v>Passives</v>
      </c>
    </row>
    <row r="685" spans="1:16" ht="14.25" customHeight="1" x14ac:dyDescent="0.3">
      <c r="A685" s="2" t="s">
        <v>711</v>
      </c>
      <c r="B685" s="2" t="s">
        <v>15</v>
      </c>
      <c r="C685" s="2" t="s">
        <v>22</v>
      </c>
      <c r="D685" s="3">
        <v>45939</v>
      </c>
      <c r="H685" s="23" t="str">
        <f t="shared" si="10"/>
        <v>Not Delivered</v>
      </c>
      <c r="I685" s="2" t="s">
        <v>23</v>
      </c>
      <c r="J685" s="2" t="s">
        <v>101</v>
      </c>
      <c r="L685">
        <v>0</v>
      </c>
      <c r="M685">
        <v>0</v>
      </c>
      <c r="N685">
        <v>0</v>
      </c>
      <c r="O685" t="s">
        <v>1080</v>
      </c>
      <c r="P685" s="24" t="str" cm="1">
        <f t="array" ref="P685">_xlfn.IFS(O685&lt;=6,"Detractors",AND(O685&gt;=7,O685&lt;=8),"Passives",AND(O685&gt;8,O685&lt;=10),"Promoters",O685="Not Available","NA")</f>
        <v>NA</v>
      </c>
    </row>
    <row r="686" spans="1:16" ht="14.25" customHeight="1" x14ac:dyDescent="0.3">
      <c r="A686" s="2" t="s">
        <v>712</v>
      </c>
      <c r="B686" s="2" t="s">
        <v>32</v>
      </c>
      <c r="C686" s="2" t="s">
        <v>22</v>
      </c>
      <c r="D686" s="3">
        <v>45952</v>
      </c>
      <c r="H686" s="23" t="str">
        <f t="shared" si="10"/>
        <v>Not Delivered</v>
      </c>
      <c r="I686" s="2" t="s">
        <v>23</v>
      </c>
      <c r="J686" s="2" t="s">
        <v>101</v>
      </c>
      <c r="L686">
        <v>0</v>
      </c>
      <c r="M686">
        <v>0</v>
      </c>
      <c r="N686">
        <v>0</v>
      </c>
      <c r="O686" t="s">
        <v>1080</v>
      </c>
      <c r="P686" s="24" t="str" cm="1">
        <f t="array" ref="P686">_xlfn.IFS(O686&lt;=6,"Detractors",AND(O686&gt;=7,O686&lt;=8),"Passives",AND(O686&gt;8,O686&lt;=10),"Promoters",O686="Not Available","NA")</f>
        <v>NA</v>
      </c>
    </row>
    <row r="687" spans="1:16" ht="14.25" customHeight="1" x14ac:dyDescent="0.3">
      <c r="A687" s="2" t="s">
        <v>713</v>
      </c>
      <c r="B687" s="2" t="s">
        <v>15</v>
      </c>
      <c r="C687" s="2" t="s">
        <v>16</v>
      </c>
      <c r="D687" s="3">
        <v>45955</v>
      </c>
      <c r="E687" s="3">
        <v>45960</v>
      </c>
      <c r="F687" s="3">
        <v>45965</v>
      </c>
      <c r="G687" s="3">
        <v>45969</v>
      </c>
      <c r="H687" s="23" t="str">
        <f t="shared" si="10"/>
        <v>Delivered</v>
      </c>
      <c r="I687" s="2" t="s">
        <v>17</v>
      </c>
      <c r="J687" s="24" t="s">
        <v>1054</v>
      </c>
      <c r="K687" s="3">
        <v>45995</v>
      </c>
      <c r="L687" s="2">
        <v>5</v>
      </c>
      <c r="M687" s="2">
        <v>5</v>
      </c>
      <c r="N687" s="2">
        <v>4</v>
      </c>
      <c r="O687" s="36">
        <v>5</v>
      </c>
      <c r="P687" s="24" t="str" cm="1">
        <f t="array" ref="P687">_xlfn.IFS(O687&lt;=6,"Detractors",AND(O687&gt;=7,O687&lt;=8),"Passives",AND(O687&gt;8,O687&lt;=10),"Promoters",O687="Not Available","NA")</f>
        <v>Detractors</v>
      </c>
    </row>
    <row r="688" spans="1:16" ht="14.25" customHeight="1" x14ac:dyDescent="0.3">
      <c r="A688" s="2" t="s">
        <v>714</v>
      </c>
      <c r="B688" s="2" t="s">
        <v>21</v>
      </c>
      <c r="C688" s="2" t="s">
        <v>22</v>
      </c>
      <c r="D688" s="3">
        <v>45954</v>
      </c>
      <c r="H688" s="23" t="str">
        <f t="shared" si="10"/>
        <v>Not Delivered</v>
      </c>
      <c r="I688" s="2" t="s">
        <v>23</v>
      </c>
      <c r="J688" s="2" t="s">
        <v>33</v>
      </c>
      <c r="L688">
        <v>0</v>
      </c>
      <c r="M688">
        <v>0</v>
      </c>
      <c r="N688">
        <v>0</v>
      </c>
      <c r="O688" t="s">
        <v>1080</v>
      </c>
      <c r="P688" s="24" t="str" cm="1">
        <f t="array" ref="P688">_xlfn.IFS(O688&lt;=6,"Detractors",AND(O688&gt;=7,O688&lt;=8),"Passives",AND(O688&gt;8,O688&lt;=10),"Promoters",O688="Not Available","NA")</f>
        <v>NA</v>
      </c>
    </row>
    <row r="689" spans="1:16" ht="14.25" customHeight="1" x14ac:dyDescent="0.3">
      <c r="A689" s="2" t="s">
        <v>715</v>
      </c>
      <c r="B689" s="2" t="s">
        <v>15</v>
      </c>
      <c r="C689" s="2" t="s">
        <v>22</v>
      </c>
      <c r="D689" s="3">
        <v>45955</v>
      </c>
      <c r="H689" s="23" t="str">
        <f t="shared" si="10"/>
        <v>Not Delivered</v>
      </c>
      <c r="I689" s="2" t="s">
        <v>23</v>
      </c>
      <c r="J689" s="2" t="s">
        <v>24</v>
      </c>
      <c r="L689">
        <v>0</v>
      </c>
      <c r="M689">
        <v>0</v>
      </c>
      <c r="N689">
        <v>0</v>
      </c>
      <c r="O689" t="s">
        <v>1080</v>
      </c>
      <c r="P689" s="24" t="str" cm="1">
        <f t="array" ref="P689">_xlfn.IFS(O689&lt;=6,"Detractors",AND(O689&gt;=7,O689&lt;=8),"Passives",AND(O689&gt;8,O689&lt;=10),"Promoters",O689="Not Available","NA")</f>
        <v>NA</v>
      </c>
    </row>
    <row r="690" spans="1:16" ht="14.25" customHeight="1" x14ac:dyDescent="0.3">
      <c r="A690" s="2" t="s">
        <v>716</v>
      </c>
      <c r="B690" s="2" t="s">
        <v>32</v>
      </c>
      <c r="C690" s="2" t="s">
        <v>16</v>
      </c>
      <c r="D690" s="3">
        <v>45952</v>
      </c>
      <c r="E690" s="3">
        <v>45955</v>
      </c>
      <c r="F690" s="3">
        <v>45960</v>
      </c>
      <c r="G690" s="3">
        <v>45963</v>
      </c>
      <c r="H690" s="23" t="str">
        <f t="shared" si="10"/>
        <v>Delivered</v>
      </c>
      <c r="I690" s="2" t="s">
        <v>17</v>
      </c>
      <c r="J690" s="24" t="s">
        <v>1054</v>
      </c>
      <c r="K690" s="3">
        <v>45976</v>
      </c>
      <c r="L690" s="2">
        <v>3</v>
      </c>
      <c r="M690" s="2">
        <v>5</v>
      </c>
      <c r="N690" s="2">
        <v>3</v>
      </c>
      <c r="O690" s="36">
        <v>5</v>
      </c>
      <c r="P690" s="24" t="str" cm="1">
        <f t="array" ref="P690">_xlfn.IFS(O690&lt;=6,"Detractors",AND(O690&gt;=7,O690&lt;=8),"Passives",AND(O690&gt;8,O690&lt;=10),"Promoters",O690="Not Available","NA")</f>
        <v>Detractors</v>
      </c>
    </row>
    <row r="691" spans="1:16" ht="14.25" customHeight="1" x14ac:dyDescent="0.3">
      <c r="A691" s="42" t="s">
        <v>717</v>
      </c>
      <c r="B691" s="2" t="s">
        <v>15</v>
      </c>
      <c r="C691" s="2" t="s">
        <v>30</v>
      </c>
      <c r="D691" s="3">
        <v>45952</v>
      </c>
      <c r="E691" s="3">
        <v>45956</v>
      </c>
      <c r="F691" s="3">
        <v>45957</v>
      </c>
      <c r="G691" s="3">
        <v>45961</v>
      </c>
      <c r="H691" s="23" t="str">
        <f t="shared" si="10"/>
        <v>Delivered</v>
      </c>
      <c r="I691" s="2" t="s">
        <v>17</v>
      </c>
      <c r="J691" s="24" t="s">
        <v>1054</v>
      </c>
      <c r="K691" s="3">
        <v>45983</v>
      </c>
      <c r="L691" s="2">
        <v>4</v>
      </c>
      <c r="M691" s="2">
        <v>1</v>
      </c>
      <c r="N691" s="2">
        <v>4</v>
      </c>
      <c r="O691" s="36">
        <v>2</v>
      </c>
      <c r="P691" s="24" t="str" cm="1">
        <f t="array" ref="P691">_xlfn.IFS(O691&lt;=6,"Detractors",AND(O691&gt;=7,O691&lt;=8),"Passives",AND(O691&gt;8,O691&lt;=10),"Promoters",O691="Not Available","NA")</f>
        <v>Detractors</v>
      </c>
    </row>
    <row r="692" spans="1:16" ht="14.25" customHeight="1" x14ac:dyDescent="0.3">
      <c r="A692" s="2" t="s">
        <v>718</v>
      </c>
      <c r="B692" s="2" t="s">
        <v>19</v>
      </c>
      <c r="C692" s="2" t="s">
        <v>16</v>
      </c>
      <c r="D692" s="3">
        <v>45957</v>
      </c>
      <c r="E692" s="3">
        <v>45960</v>
      </c>
      <c r="F692" s="3">
        <v>45962</v>
      </c>
      <c r="G692" s="3">
        <v>45968</v>
      </c>
      <c r="H692" s="23" t="str">
        <f t="shared" si="10"/>
        <v>Delivered</v>
      </c>
      <c r="I692" s="2" t="s">
        <v>17</v>
      </c>
      <c r="J692" s="24" t="s">
        <v>1054</v>
      </c>
      <c r="K692" s="3">
        <v>45994</v>
      </c>
      <c r="L692" s="2">
        <v>3</v>
      </c>
      <c r="M692" s="2">
        <v>2</v>
      </c>
      <c r="N692" s="2">
        <v>6</v>
      </c>
      <c r="O692" s="36">
        <v>7</v>
      </c>
      <c r="P692" s="24" t="str" cm="1">
        <f t="array" ref="P692">_xlfn.IFS(O692&lt;=6,"Detractors",AND(O692&gt;=7,O692&lt;=8),"Passives",AND(O692&gt;8,O692&lt;=10),"Promoters",O692="Not Available","NA")</f>
        <v>Passives</v>
      </c>
    </row>
    <row r="693" spans="1:16" ht="14.25" customHeight="1" x14ac:dyDescent="0.3">
      <c r="A693" s="2" t="s">
        <v>719</v>
      </c>
      <c r="B693" s="2" t="s">
        <v>21</v>
      </c>
      <c r="C693" s="2" t="s">
        <v>16</v>
      </c>
      <c r="D693" s="3">
        <v>45935</v>
      </c>
      <c r="E693" s="3">
        <v>45938</v>
      </c>
      <c r="F693" s="3">
        <v>45941</v>
      </c>
      <c r="G693" s="3">
        <v>45945</v>
      </c>
      <c r="H693" s="23" t="str">
        <f t="shared" si="10"/>
        <v>Delivered</v>
      </c>
      <c r="I693" s="2" t="s">
        <v>17</v>
      </c>
      <c r="J693" s="24" t="s">
        <v>1054</v>
      </c>
      <c r="K693" s="3">
        <v>45964</v>
      </c>
      <c r="L693" s="2">
        <v>3</v>
      </c>
      <c r="M693" s="2">
        <v>3</v>
      </c>
      <c r="N693" s="2">
        <v>4</v>
      </c>
      <c r="O693" s="36">
        <v>3</v>
      </c>
      <c r="P693" s="24" t="str" cm="1">
        <f t="array" ref="P693">_xlfn.IFS(O693&lt;=6,"Detractors",AND(O693&gt;=7,O693&lt;=8),"Passives",AND(O693&gt;8,O693&lt;=10),"Promoters",O693="Not Available","NA")</f>
        <v>Detractors</v>
      </c>
    </row>
    <row r="694" spans="1:16" ht="14.25" customHeight="1" x14ac:dyDescent="0.3">
      <c r="A694" s="42" t="s">
        <v>720</v>
      </c>
      <c r="B694" s="2" t="s">
        <v>21</v>
      </c>
      <c r="C694" s="2" t="s">
        <v>30</v>
      </c>
      <c r="D694" s="3">
        <v>45951</v>
      </c>
      <c r="E694" s="3">
        <v>45953</v>
      </c>
      <c r="F694" s="3">
        <v>45954</v>
      </c>
      <c r="G694" s="3">
        <v>45961</v>
      </c>
      <c r="H694" s="23" t="str">
        <f t="shared" si="10"/>
        <v>Delivered</v>
      </c>
      <c r="I694" s="2" t="s">
        <v>17</v>
      </c>
      <c r="J694" s="24" t="s">
        <v>1054</v>
      </c>
      <c r="K694" s="3">
        <v>45984</v>
      </c>
      <c r="L694" s="2">
        <v>2</v>
      </c>
      <c r="M694" s="2">
        <v>1</v>
      </c>
      <c r="N694" s="2">
        <v>7</v>
      </c>
      <c r="O694" s="36">
        <v>8</v>
      </c>
      <c r="P694" s="24" t="str" cm="1">
        <f t="array" ref="P694">_xlfn.IFS(O694&lt;=6,"Detractors",AND(O694&gt;=7,O694&lt;=8),"Passives",AND(O694&gt;8,O694&lt;=10),"Promoters",O694="Not Available","NA")</f>
        <v>Passives</v>
      </c>
    </row>
    <row r="695" spans="1:16" ht="14.25" customHeight="1" x14ac:dyDescent="0.3">
      <c r="A695" s="42" t="s">
        <v>721</v>
      </c>
      <c r="B695" s="2" t="s">
        <v>21</v>
      </c>
      <c r="C695" s="2" t="s">
        <v>30</v>
      </c>
      <c r="D695" s="3">
        <v>45934</v>
      </c>
      <c r="E695" s="3">
        <v>45935</v>
      </c>
      <c r="F695" s="3">
        <v>45937</v>
      </c>
      <c r="G695" s="3">
        <v>45943</v>
      </c>
      <c r="H695" s="23" t="str">
        <f t="shared" si="10"/>
        <v>Delivered</v>
      </c>
      <c r="I695" s="2" t="s">
        <v>17</v>
      </c>
      <c r="J695" s="24" t="s">
        <v>1054</v>
      </c>
      <c r="K695" s="3">
        <v>45954</v>
      </c>
      <c r="L695" s="2">
        <v>1</v>
      </c>
      <c r="M695" s="2">
        <v>2</v>
      </c>
      <c r="N695" s="2">
        <v>6</v>
      </c>
      <c r="O695" s="36">
        <v>7</v>
      </c>
      <c r="P695" s="24" t="str" cm="1">
        <f t="array" ref="P695">_xlfn.IFS(O695&lt;=6,"Detractors",AND(O695&gt;=7,O695&lt;=8),"Passives",AND(O695&gt;8,O695&lt;=10),"Promoters",O695="Not Available","NA")</f>
        <v>Passives</v>
      </c>
    </row>
    <row r="696" spans="1:16" ht="14.25" customHeight="1" x14ac:dyDescent="0.3">
      <c r="A696" s="2" t="s">
        <v>722</v>
      </c>
      <c r="B696" s="2" t="s">
        <v>32</v>
      </c>
      <c r="C696" s="2" t="s">
        <v>16</v>
      </c>
      <c r="D696" s="3">
        <v>45959</v>
      </c>
      <c r="E696" s="3">
        <v>45960</v>
      </c>
      <c r="F696" s="3">
        <v>45965</v>
      </c>
      <c r="G696" s="3">
        <v>45968</v>
      </c>
      <c r="H696" s="23" t="str">
        <f t="shared" si="10"/>
        <v>Delivered</v>
      </c>
      <c r="I696" s="2" t="s">
        <v>17</v>
      </c>
      <c r="J696" s="24" t="s">
        <v>1054</v>
      </c>
      <c r="K696" s="3">
        <v>45982</v>
      </c>
      <c r="L696" s="2">
        <v>1</v>
      </c>
      <c r="M696" s="2">
        <v>5</v>
      </c>
      <c r="N696" s="2">
        <v>3</v>
      </c>
      <c r="O696" s="36">
        <v>2</v>
      </c>
      <c r="P696" s="24" t="str" cm="1">
        <f t="array" ref="P696">_xlfn.IFS(O696&lt;=6,"Detractors",AND(O696&gt;=7,O696&lt;=8),"Passives",AND(O696&gt;8,O696&lt;=10),"Promoters",O696="Not Available","NA")</f>
        <v>Detractors</v>
      </c>
    </row>
    <row r="697" spans="1:16" ht="14.25" customHeight="1" x14ac:dyDescent="0.3">
      <c r="A697" s="42" t="s">
        <v>723</v>
      </c>
      <c r="B697" s="2" t="s">
        <v>21</v>
      </c>
      <c r="C697" s="2" t="s">
        <v>30</v>
      </c>
      <c r="D697" s="3">
        <v>45951</v>
      </c>
      <c r="E697" s="3">
        <v>45953</v>
      </c>
      <c r="F697" s="3">
        <v>45955</v>
      </c>
      <c r="G697" s="3">
        <v>45960</v>
      </c>
      <c r="H697" s="23" t="str">
        <f t="shared" si="10"/>
        <v>Delivered</v>
      </c>
      <c r="I697" s="2" t="s">
        <v>17</v>
      </c>
      <c r="J697" s="24" t="s">
        <v>1054</v>
      </c>
      <c r="K697" s="3">
        <v>45974</v>
      </c>
      <c r="L697" s="2">
        <v>2</v>
      </c>
      <c r="M697" s="2">
        <v>2</v>
      </c>
      <c r="N697" s="2">
        <v>5</v>
      </c>
      <c r="O697" s="36">
        <v>2</v>
      </c>
      <c r="P697" s="24" t="str" cm="1">
        <f t="array" ref="P697">_xlfn.IFS(O697&lt;=6,"Detractors",AND(O697&gt;=7,O697&lt;=8),"Passives",AND(O697&gt;8,O697&lt;=10),"Promoters",O697="Not Available","NA")</f>
        <v>Detractors</v>
      </c>
    </row>
    <row r="698" spans="1:16" ht="14.25" customHeight="1" x14ac:dyDescent="0.3">
      <c r="A698" s="2" t="s">
        <v>724</v>
      </c>
      <c r="B698" s="2" t="s">
        <v>19</v>
      </c>
      <c r="C698" s="2" t="s">
        <v>16</v>
      </c>
      <c r="D698" s="3">
        <v>45951</v>
      </c>
      <c r="E698" s="3">
        <v>45955</v>
      </c>
      <c r="F698" s="3">
        <v>45959</v>
      </c>
      <c r="G698" s="3">
        <v>45963</v>
      </c>
      <c r="H698" s="23" t="str">
        <f t="shared" si="10"/>
        <v>Delivered</v>
      </c>
      <c r="I698" s="2" t="s">
        <v>17</v>
      </c>
      <c r="J698" s="24" t="s">
        <v>1054</v>
      </c>
      <c r="K698" s="3">
        <v>45979</v>
      </c>
      <c r="L698" s="2">
        <v>4</v>
      </c>
      <c r="M698" s="2">
        <v>4</v>
      </c>
      <c r="N698" s="2">
        <v>4</v>
      </c>
      <c r="O698" s="36">
        <v>9</v>
      </c>
      <c r="P698" s="24" t="str" cm="1">
        <f t="array" ref="P698">_xlfn.IFS(O698&lt;=6,"Detractors",AND(O698&gt;=7,O698&lt;=8),"Passives",AND(O698&gt;8,O698&lt;=10),"Promoters",O698="Not Available","NA")</f>
        <v>Promoters</v>
      </c>
    </row>
    <row r="699" spans="1:16" ht="14.25" customHeight="1" x14ac:dyDescent="0.3">
      <c r="A699" s="2" t="s">
        <v>725</v>
      </c>
      <c r="B699" s="2" t="s">
        <v>32</v>
      </c>
      <c r="C699" s="2" t="s">
        <v>22</v>
      </c>
      <c r="D699" s="3">
        <v>45932</v>
      </c>
      <c r="H699" s="23" t="str">
        <f t="shared" si="10"/>
        <v>Not Delivered</v>
      </c>
      <c r="I699" s="2" t="s">
        <v>23</v>
      </c>
      <c r="J699" s="2" t="s">
        <v>101</v>
      </c>
      <c r="L699">
        <v>0</v>
      </c>
      <c r="M699">
        <v>0</v>
      </c>
      <c r="N699">
        <v>0</v>
      </c>
      <c r="O699" t="s">
        <v>1080</v>
      </c>
      <c r="P699" s="24" t="str" cm="1">
        <f t="array" ref="P699">_xlfn.IFS(O699&lt;=6,"Detractors",AND(O699&gt;=7,O699&lt;=8),"Passives",AND(O699&gt;8,O699&lt;=10),"Promoters",O699="Not Available","NA")</f>
        <v>NA</v>
      </c>
    </row>
    <row r="700" spans="1:16" ht="14.25" customHeight="1" x14ac:dyDescent="0.3">
      <c r="A700" s="2" t="s">
        <v>726</v>
      </c>
      <c r="B700" s="2" t="s">
        <v>19</v>
      </c>
      <c r="C700" s="2" t="s">
        <v>22</v>
      </c>
      <c r="D700" s="3">
        <v>45940</v>
      </c>
      <c r="H700" s="23" t="str">
        <f t="shared" si="10"/>
        <v>Not Delivered</v>
      </c>
      <c r="I700" s="2" t="s">
        <v>23</v>
      </c>
      <c r="J700" s="2" t="s">
        <v>101</v>
      </c>
      <c r="L700">
        <v>0</v>
      </c>
      <c r="M700">
        <v>0</v>
      </c>
      <c r="N700">
        <v>0</v>
      </c>
      <c r="O700" t="s">
        <v>1080</v>
      </c>
      <c r="P700" s="24" t="str" cm="1">
        <f t="array" ref="P700">_xlfn.IFS(O700&lt;=6,"Detractors",AND(O700&gt;=7,O700&lt;=8),"Passives",AND(O700&gt;8,O700&lt;=10),"Promoters",O700="Not Available","NA")</f>
        <v>NA</v>
      </c>
    </row>
    <row r="701" spans="1:16" ht="14.25" customHeight="1" x14ac:dyDescent="0.3">
      <c r="A701" s="42" t="s">
        <v>727</v>
      </c>
      <c r="B701" s="2" t="s">
        <v>15</v>
      </c>
      <c r="C701" s="2" t="s">
        <v>30</v>
      </c>
      <c r="D701" s="3">
        <v>45956</v>
      </c>
      <c r="E701" s="3">
        <v>45961</v>
      </c>
      <c r="F701" s="3">
        <v>45962</v>
      </c>
      <c r="G701" s="3">
        <v>45968</v>
      </c>
      <c r="H701" s="23" t="str">
        <f t="shared" si="10"/>
        <v>Delivered</v>
      </c>
      <c r="I701" s="2" t="s">
        <v>17</v>
      </c>
      <c r="J701" s="24" t="s">
        <v>1054</v>
      </c>
      <c r="K701" s="3">
        <v>45988</v>
      </c>
      <c r="L701" s="2">
        <v>5</v>
      </c>
      <c r="M701" s="2">
        <v>1</v>
      </c>
      <c r="N701" s="2">
        <v>6</v>
      </c>
      <c r="O701" s="36">
        <v>7</v>
      </c>
      <c r="P701" s="24" t="str" cm="1">
        <f t="array" ref="P701">_xlfn.IFS(O701&lt;=6,"Detractors",AND(O701&gt;=7,O701&lt;=8),"Passives",AND(O701&gt;8,O701&lt;=10),"Promoters",O701="Not Available","NA")</f>
        <v>Passives</v>
      </c>
    </row>
    <row r="702" spans="1:16" ht="14.25" customHeight="1" x14ac:dyDescent="0.3">
      <c r="A702" s="2" t="s">
        <v>728</v>
      </c>
      <c r="B702" s="2" t="s">
        <v>15</v>
      </c>
      <c r="C702" s="2" t="s">
        <v>22</v>
      </c>
      <c r="D702" s="3">
        <v>45945</v>
      </c>
      <c r="H702" s="23" t="str">
        <f t="shared" si="10"/>
        <v>Not Delivered</v>
      </c>
      <c r="I702" s="2" t="s">
        <v>23</v>
      </c>
      <c r="J702" s="2" t="s">
        <v>63</v>
      </c>
      <c r="L702">
        <v>0</v>
      </c>
      <c r="M702">
        <v>0</v>
      </c>
      <c r="N702">
        <v>0</v>
      </c>
      <c r="O702" t="s">
        <v>1080</v>
      </c>
      <c r="P702" s="24" t="str" cm="1">
        <f t="array" ref="P702">_xlfn.IFS(O702&lt;=6,"Detractors",AND(O702&gt;=7,O702&lt;=8),"Passives",AND(O702&gt;8,O702&lt;=10),"Promoters",O702="Not Available","NA")</f>
        <v>NA</v>
      </c>
    </row>
    <row r="703" spans="1:16" ht="14.25" customHeight="1" x14ac:dyDescent="0.3">
      <c r="A703" s="42" t="s">
        <v>729</v>
      </c>
      <c r="B703" s="2" t="s">
        <v>15</v>
      </c>
      <c r="C703" s="2" t="s">
        <v>30</v>
      </c>
      <c r="D703" s="3">
        <v>45932</v>
      </c>
      <c r="E703" s="3">
        <v>45936</v>
      </c>
      <c r="F703" s="3">
        <v>45939</v>
      </c>
      <c r="G703" s="3">
        <v>45944</v>
      </c>
      <c r="H703" s="23" t="str">
        <f t="shared" si="10"/>
        <v>Delivered</v>
      </c>
      <c r="I703" s="2" t="s">
        <v>17</v>
      </c>
      <c r="J703" s="24" t="s">
        <v>1054</v>
      </c>
      <c r="K703" s="3">
        <v>45967</v>
      </c>
      <c r="L703" s="2">
        <v>4</v>
      </c>
      <c r="M703" s="2">
        <v>3</v>
      </c>
      <c r="N703" s="2">
        <v>5</v>
      </c>
      <c r="O703" s="36">
        <v>9</v>
      </c>
      <c r="P703" s="24" t="str" cm="1">
        <f t="array" ref="P703">_xlfn.IFS(O703&lt;=6,"Detractors",AND(O703&gt;=7,O703&lt;=8),"Passives",AND(O703&gt;8,O703&lt;=10),"Promoters",O703="Not Available","NA")</f>
        <v>Promoters</v>
      </c>
    </row>
    <row r="704" spans="1:16" ht="14.25" customHeight="1" x14ac:dyDescent="0.3">
      <c r="A704" s="2" t="s">
        <v>730</v>
      </c>
      <c r="B704" s="2" t="s">
        <v>15</v>
      </c>
      <c r="C704" s="2" t="s">
        <v>30</v>
      </c>
      <c r="D704" s="3">
        <v>45949</v>
      </c>
      <c r="E704" s="3">
        <v>45954</v>
      </c>
      <c r="F704" s="3">
        <v>45956</v>
      </c>
      <c r="G704" s="3">
        <v>45959</v>
      </c>
      <c r="H704" s="23" t="str">
        <f t="shared" si="10"/>
        <v>Delivered</v>
      </c>
      <c r="I704" s="2" t="s">
        <v>23</v>
      </c>
      <c r="J704" s="2" t="s">
        <v>26</v>
      </c>
      <c r="L704" s="2">
        <v>5</v>
      </c>
      <c r="M704" s="2">
        <v>2</v>
      </c>
      <c r="N704" s="2">
        <v>3</v>
      </c>
      <c r="O704" s="36" t="s">
        <v>1080</v>
      </c>
      <c r="P704" s="24" t="str" cm="1">
        <f t="array" ref="P704">_xlfn.IFS(O704&lt;=6,"Detractors",AND(O704&gt;=7,O704&lt;=8),"Passives",AND(O704&gt;8,O704&lt;=10),"Promoters",O704="Not Available","NA")</f>
        <v>NA</v>
      </c>
    </row>
    <row r="705" spans="1:16" ht="14.25" customHeight="1" x14ac:dyDescent="0.3">
      <c r="A705" s="2" t="s">
        <v>731</v>
      </c>
      <c r="B705" s="2" t="s">
        <v>19</v>
      </c>
      <c r="C705" s="2" t="s">
        <v>16</v>
      </c>
      <c r="D705" s="3">
        <v>45942</v>
      </c>
      <c r="E705" s="3">
        <v>45943</v>
      </c>
      <c r="F705" s="3">
        <v>45948</v>
      </c>
      <c r="G705" s="3">
        <v>45955</v>
      </c>
      <c r="H705" s="23" t="str">
        <f t="shared" si="10"/>
        <v>Delivered</v>
      </c>
      <c r="I705" s="2" t="s">
        <v>17</v>
      </c>
      <c r="J705" s="24" t="s">
        <v>1054</v>
      </c>
      <c r="K705" s="3">
        <v>45983</v>
      </c>
      <c r="L705" s="2">
        <v>1</v>
      </c>
      <c r="M705" s="2">
        <v>5</v>
      </c>
      <c r="N705" s="2">
        <v>7</v>
      </c>
      <c r="O705" s="36">
        <v>2</v>
      </c>
      <c r="P705" s="24" t="str" cm="1">
        <f t="array" ref="P705">_xlfn.IFS(O705&lt;=6,"Detractors",AND(O705&gt;=7,O705&lt;=8),"Passives",AND(O705&gt;8,O705&lt;=10),"Promoters",O705="Not Available","NA")</f>
        <v>Detractors</v>
      </c>
    </row>
    <row r="706" spans="1:16" ht="14.25" customHeight="1" x14ac:dyDescent="0.3">
      <c r="A706" s="2" t="s">
        <v>732</v>
      </c>
      <c r="B706" s="2" t="s">
        <v>32</v>
      </c>
      <c r="C706" s="2" t="s">
        <v>16</v>
      </c>
      <c r="D706" s="3">
        <v>45954</v>
      </c>
      <c r="E706" s="3">
        <v>45957</v>
      </c>
      <c r="F706" s="3">
        <v>45959</v>
      </c>
      <c r="G706" s="3">
        <v>45965</v>
      </c>
      <c r="H706" s="23" t="str">
        <f t="shared" si="10"/>
        <v>Delivered</v>
      </c>
      <c r="I706" s="2" t="s">
        <v>17</v>
      </c>
      <c r="J706" s="24" t="s">
        <v>1054</v>
      </c>
      <c r="K706" s="3">
        <v>45989</v>
      </c>
      <c r="L706" s="2">
        <v>3</v>
      </c>
      <c r="M706" s="2">
        <v>2</v>
      </c>
      <c r="N706" s="2">
        <v>6</v>
      </c>
      <c r="O706" s="36">
        <v>9</v>
      </c>
      <c r="P706" s="24" t="str" cm="1">
        <f t="array" ref="P706">_xlfn.IFS(O706&lt;=6,"Detractors",AND(O706&gt;=7,O706&lt;=8),"Passives",AND(O706&gt;8,O706&lt;=10),"Promoters",O706="Not Available","NA")</f>
        <v>Promoters</v>
      </c>
    </row>
    <row r="707" spans="1:16" ht="14.25" customHeight="1" x14ac:dyDescent="0.3">
      <c r="A707" s="2" t="s">
        <v>733</v>
      </c>
      <c r="B707" s="2" t="s">
        <v>32</v>
      </c>
      <c r="C707" s="2" t="s">
        <v>16</v>
      </c>
      <c r="D707" s="3">
        <v>45935</v>
      </c>
      <c r="E707" s="3">
        <v>45938</v>
      </c>
      <c r="F707" s="3">
        <v>45943</v>
      </c>
      <c r="G707" s="3">
        <v>45946</v>
      </c>
      <c r="H707" s="23" t="str">
        <f t="shared" ref="H707:H770" si="11">IF(G707="", "Not Delivered", "Delivered")</f>
        <v>Delivered</v>
      </c>
      <c r="I707" s="2" t="s">
        <v>17</v>
      </c>
      <c r="J707" s="24" t="s">
        <v>1054</v>
      </c>
      <c r="K707" s="3">
        <v>45960</v>
      </c>
      <c r="L707" s="2">
        <v>3</v>
      </c>
      <c r="M707" s="2">
        <v>5</v>
      </c>
      <c r="N707" s="2">
        <v>3</v>
      </c>
      <c r="O707" s="36">
        <v>2</v>
      </c>
      <c r="P707" s="24" t="str" cm="1">
        <f t="array" ref="P707">_xlfn.IFS(O707&lt;=6,"Detractors",AND(O707&gt;=7,O707&lt;=8),"Passives",AND(O707&gt;8,O707&lt;=10),"Promoters",O707="Not Available","NA")</f>
        <v>Detractors</v>
      </c>
    </row>
    <row r="708" spans="1:16" ht="14.25" customHeight="1" x14ac:dyDescent="0.3">
      <c r="A708" s="2" t="s">
        <v>734</v>
      </c>
      <c r="B708" s="2" t="s">
        <v>21</v>
      </c>
      <c r="C708" s="2" t="s">
        <v>16</v>
      </c>
      <c r="D708" s="3">
        <v>45933</v>
      </c>
      <c r="E708" s="3">
        <v>45937</v>
      </c>
      <c r="F708" s="3">
        <v>45941</v>
      </c>
      <c r="G708" s="3">
        <v>45944</v>
      </c>
      <c r="H708" s="23" t="str">
        <f t="shared" si="11"/>
        <v>Delivered</v>
      </c>
      <c r="I708" s="2" t="s">
        <v>17</v>
      </c>
      <c r="J708" s="24" t="s">
        <v>1054</v>
      </c>
      <c r="K708" s="3">
        <v>45964</v>
      </c>
      <c r="L708" s="2">
        <v>4</v>
      </c>
      <c r="M708" s="2">
        <v>4</v>
      </c>
      <c r="N708" s="2">
        <v>3</v>
      </c>
      <c r="O708" s="36">
        <v>6</v>
      </c>
      <c r="P708" s="24" t="str" cm="1">
        <f t="array" ref="P708">_xlfn.IFS(O708&lt;=6,"Detractors",AND(O708&gt;=7,O708&lt;=8),"Passives",AND(O708&gt;8,O708&lt;=10),"Promoters",O708="Not Available","NA")</f>
        <v>Detractors</v>
      </c>
    </row>
    <row r="709" spans="1:16" ht="14.25" customHeight="1" x14ac:dyDescent="0.3">
      <c r="A709" s="2" t="s">
        <v>735</v>
      </c>
      <c r="B709" s="2" t="s">
        <v>19</v>
      </c>
      <c r="C709" s="2" t="s">
        <v>30</v>
      </c>
      <c r="D709" s="3">
        <v>45960</v>
      </c>
      <c r="E709" s="3">
        <v>45962</v>
      </c>
      <c r="F709" s="3">
        <v>45967</v>
      </c>
      <c r="G709" s="3">
        <v>45969</v>
      </c>
      <c r="H709" s="23" t="str">
        <f t="shared" si="11"/>
        <v>Delivered</v>
      </c>
      <c r="I709" s="2" t="s">
        <v>23</v>
      </c>
      <c r="J709" s="2" t="s">
        <v>33</v>
      </c>
      <c r="L709" s="2">
        <v>2</v>
      </c>
      <c r="M709" s="2">
        <v>5</v>
      </c>
      <c r="N709" s="2">
        <v>2</v>
      </c>
      <c r="O709" t="s">
        <v>1080</v>
      </c>
      <c r="P709" s="24" t="str" cm="1">
        <f t="array" ref="P709">_xlfn.IFS(O709&lt;=6,"Detractors",AND(O709&gt;=7,O709&lt;=8),"Passives",AND(O709&gt;8,O709&lt;=10),"Promoters",O709="Not Available","NA")</f>
        <v>NA</v>
      </c>
    </row>
    <row r="710" spans="1:16" ht="14.25" customHeight="1" x14ac:dyDescent="0.3">
      <c r="A710" s="42" t="s">
        <v>736</v>
      </c>
      <c r="B710" s="2" t="s">
        <v>15</v>
      </c>
      <c r="C710" s="2" t="s">
        <v>30</v>
      </c>
      <c r="D710" s="3">
        <v>45940</v>
      </c>
      <c r="E710" s="3">
        <v>45945</v>
      </c>
      <c r="F710" s="3">
        <v>45948</v>
      </c>
      <c r="G710" s="3">
        <v>45953</v>
      </c>
      <c r="H710" s="23" t="str">
        <f t="shared" si="11"/>
        <v>Delivered</v>
      </c>
      <c r="I710" s="2" t="s">
        <v>17</v>
      </c>
      <c r="J710" s="24" t="s">
        <v>1054</v>
      </c>
      <c r="K710" s="3">
        <v>45968</v>
      </c>
      <c r="L710" s="2">
        <v>5</v>
      </c>
      <c r="M710" s="2">
        <v>3</v>
      </c>
      <c r="N710" s="2">
        <v>5</v>
      </c>
      <c r="O710" s="36">
        <v>2</v>
      </c>
      <c r="P710" s="24" t="str" cm="1">
        <f t="array" ref="P710">_xlfn.IFS(O710&lt;=6,"Detractors",AND(O710&gt;=7,O710&lt;=8),"Passives",AND(O710&gt;8,O710&lt;=10),"Promoters",O710="Not Available","NA")</f>
        <v>Detractors</v>
      </c>
    </row>
    <row r="711" spans="1:16" ht="14.25" customHeight="1" x14ac:dyDescent="0.3">
      <c r="A711" s="2" t="s">
        <v>737</v>
      </c>
      <c r="B711" s="2" t="s">
        <v>19</v>
      </c>
      <c r="C711" s="2" t="s">
        <v>16</v>
      </c>
      <c r="D711" s="3">
        <v>45941</v>
      </c>
      <c r="E711" s="3">
        <v>45944</v>
      </c>
      <c r="F711" s="3">
        <v>45948</v>
      </c>
      <c r="G711" s="3">
        <v>45950</v>
      </c>
      <c r="H711" s="23" t="str">
        <f t="shared" si="11"/>
        <v>Delivered</v>
      </c>
      <c r="I711" s="2" t="s">
        <v>17</v>
      </c>
      <c r="J711" s="24" t="s">
        <v>1054</v>
      </c>
      <c r="K711" s="3">
        <v>45962</v>
      </c>
      <c r="L711" s="2">
        <v>3</v>
      </c>
      <c r="M711" s="2">
        <v>4</v>
      </c>
      <c r="N711" s="2">
        <v>2</v>
      </c>
      <c r="O711" s="36">
        <v>6</v>
      </c>
      <c r="P711" s="24" t="str" cm="1">
        <f t="array" ref="P711">_xlfn.IFS(O711&lt;=6,"Detractors",AND(O711&gt;=7,O711&lt;=8),"Passives",AND(O711&gt;8,O711&lt;=10),"Promoters",O711="Not Available","NA")</f>
        <v>Detractors</v>
      </c>
    </row>
    <row r="712" spans="1:16" ht="14.25" customHeight="1" x14ac:dyDescent="0.3">
      <c r="A712" s="2" t="s">
        <v>738</v>
      </c>
      <c r="B712" s="2" t="s">
        <v>21</v>
      </c>
      <c r="C712" s="2" t="s">
        <v>16</v>
      </c>
      <c r="D712" s="3">
        <v>45954</v>
      </c>
      <c r="E712" s="3">
        <v>45958</v>
      </c>
      <c r="F712" s="3">
        <v>45960</v>
      </c>
      <c r="G712" s="3">
        <v>45963</v>
      </c>
      <c r="H712" s="23" t="str">
        <f t="shared" si="11"/>
        <v>Delivered</v>
      </c>
      <c r="I712" s="2" t="s">
        <v>17</v>
      </c>
      <c r="J712" s="24" t="s">
        <v>1054</v>
      </c>
      <c r="K712" s="3">
        <v>45988</v>
      </c>
      <c r="L712" s="2">
        <v>4</v>
      </c>
      <c r="M712" s="2">
        <v>2</v>
      </c>
      <c r="N712" s="2">
        <v>3</v>
      </c>
      <c r="O712" s="36">
        <v>8</v>
      </c>
      <c r="P712" s="24" t="str" cm="1">
        <f t="array" ref="P712">_xlfn.IFS(O712&lt;=6,"Detractors",AND(O712&gt;=7,O712&lt;=8),"Passives",AND(O712&gt;8,O712&lt;=10),"Promoters",O712="Not Available","NA")</f>
        <v>Passives</v>
      </c>
    </row>
    <row r="713" spans="1:16" ht="14.25" customHeight="1" x14ac:dyDescent="0.3">
      <c r="A713" s="2" t="s">
        <v>739</v>
      </c>
      <c r="B713" s="2" t="s">
        <v>21</v>
      </c>
      <c r="C713" s="2" t="s">
        <v>16</v>
      </c>
      <c r="D713" s="3">
        <v>45944</v>
      </c>
      <c r="E713" s="3">
        <v>45946</v>
      </c>
      <c r="F713" s="3">
        <v>45947</v>
      </c>
      <c r="G713" s="3">
        <v>45953</v>
      </c>
      <c r="H713" s="23" t="str">
        <f t="shared" si="11"/>
        <v>Delivered</v>
      </c>
      <c r="I713" s="2" t="s">
        <v>17</v>
      </c>
      <c r="J713" s="24" t="s">
        <v>1054</v>
      </c>
      <c r="K713" s="3">
        <v>45973</v>
      </c>
      <c r="L713" s="2">
        <v>2</v>
      </c>
      <c r="M713" s="2">
        <v>1</v>
      </c>
      <c r="N713" s="2">
        <v>6</v>
      </c>
      <c r="O713" s="36">
        <v>2</v>
      </c>
      <c r="P713" s="24" t="str" cm="1">
        <f t="array" ref="P713">_xlfn.IFS(O713&lt;=6,"Detractors",AND(O713&gt;=7,O713&lt;=8),"Passives",AND(O713&gt;8,O713&lt;=10),"Promoters",O713="Not Available","NA")</f>
        <v>Detractors</v>
      </c>
    </row>
    <row r="714" spans="1:16" ht="14.25" customHeight="1" x14ac:dyDescent="0.3">
      <c r="A714" s="42" t="s">
        <v>740</v>
      </c>
      <c r="B714" s="2" t="s">
        <v>19</v>
      </c>
      <c r="C714" s="2" t="s">
        <v>30</v>
      </c>
      <c r="D714" s="3">
        <v>45936</v>
      </c>
      <c r="E714" s="3">
        <v>45937</v>
      </c>
      <c r="F714" s="3">
        <v>45942</v>
      </c>
      <c r="G714" s="3">
        <v>45946</v>
      </c>
      <c r="H714" s="23" t="str">
        <f t="shared" si="11"/>
        <v>Delivered</v>
      </c>
      <c r="I714" s="2" t="s">
        <v>17</v>
      </c>
      <c r="J714" s="24" t="s">
        <v>1054</v>
      </c>
      <c r="K714" s="3">
        <v>45976</v>
      </c>
      <c r="L714" s="2">
        <v>1</v>
      </c>
      <c r="M714" s="2">
        <v>5</v>
      </c>
      <c r="N714" s="2">
        <v>4</v>
      </c>
      <c r="O714" s="36">
        <v>5</v>
      </c>
      <c r="P714" s="24" t="str" cm="1">
        <f t="array" ref="P714">_xlfn.IFS(O714&lt;=6,"Detractors",AND(O714&gt;=7,O714&lt;=8),"Passives",AND(O714&gt;8,O714&lt;=10),"Promoters",O714="Not Available","NA")</f>
        <v>Detractors</v>
      </c>
    </row>
    <row r="715" spans="1:16" ht="14.25" customHeight="1" x14ac:dyDescent="0.3">
      <c r="A715" s="2" t="s">
        <v>741</v>
      </c>
      <c r="B715" s="2" t="s">
        <v>19</v>
      </c>
      <c r="C715" s="2" t="s">
        <v>16</v>
      </c>
      <c r="D715" s="3">
        <v>45937</v>
      </c>
      <c r="E715" s="3">
        <v>45939</v>
      </c>
      <c r="F715" s="3">
        <v>45942</v>
      </c>
      <c r="G715" s="3">
        <v>45949</v>
      </c>
      <c r="H715" s="23" t="str">
        <f t="shared" si="11"/>
        <v>Delivered</v>
      </c>
      <c r="I715" s="2" t="s">
        <v>17</v>
      </c>
      <c r="J715" s="24" t="s">
        <v>1054</v>
      </c>
      <c r="K715" s="3">
        <v>45964</v>
      </c>
      <c r="L715" s="2">
        <v>2</v>
      </c>
      <c r="M715" s="2">
        <v>3</v>
      </c>
      <c r="N715" s="2">
        <v>7</v>
      </c>
      <c r="O715" s="36">
        <v>8</v>
      </c>
      <c r="P715" s="24" t="str" cm="1">
        <f t="array" ref="P715">_xlfn.IFS(O715&lt;=6,"Detractors",AND(O715&gt;=7,O715&lt;=8),"Passives",AND(O715&gt;8,O715&lt;=10),"Promoters",O715="Not Available","NA")</f>
        <v>Passives</v>
      </c>
    </row>
    <row r="716" spans="1:16" ht="14.25" customHeight="1" x14ac:dyDescent="0.3">
      <c r="A716" s="42" t="s">
        <v>742</v>
      </c>
      <c r="B716" s="2" t="s">
        <v>19</v>
      </c>
      <c r="C716" s="2" t="s">
        <v>30</v>
      </c>
      <c r="D716" s="3">
        <v>45935</v>
      </c>
      <c r="E716" s="3">
        <v>45936</v>
      </c>
      <c r="F716" s="3">
        <v>45937</v>
      </c>
      <c r="G716" s="3">
        <v>45944</v>
      </c>
      <c r="H716" s="23" t="str">
        <f t="shared" si="11"/>
        <v>Delivered</v>
      </c>
      <c r="I716" s="2" t="s">
        <v>17</v>
      </c>
      <c r="J716" s="24" t="s">
        <v>1054</v>
      </c>
      <c r="K716" s="3">
        <v>45964</v>
      </c>
      <c r="L716" s="2">
        <v>1</v>
      </c>
      <c r="M716" s="2">
        <v>1</v>
      </c>
      <c r="N716" s="2">
        <v>7</v>
      </c>
      <c r="O716" s="36">
        <v>7</v>
      </c>
      <c r="P716" s="24" t="str" cm="1">
        <f t="array" ref="P716">_xlfn.IFS(O716&lt;=6,"Detractors",AND(O716&gt;=7,O716&lt;=8),"Passives",AND(O716&gt;8,O716&lt;=10),"Promoters",O716="Not Available","NA")</f>
        <v>Passives</v>
      </c>
    </row>
    <row r="717" spans="1:16" ht="14.25" customHeight="1" x14ac:dyDescent="0.3">
      <c r="A717" s="42" t="s">
        <v>743</v>
      </c>
      <c r="B717" s="2" t="s">
        <v>32</v>
      </c>
      <c r="C717" s="2" t="s">
        <v>30</v>
      </c>
      <c r="D717" s="3">
        <v>45956</v>
      </c>
      <c r="E717" s="3">
        <v>45960</v>
      </c>
      <c r="F717" s="3">
        <v>45961</v>
      </c>
      <c r="G717" s="3">
        <v>45963</v>
      </c>
      <c r="H717" s="23" t="str">
        <f t="shared" si="11"/>
        <v>Delivered</v>
      </c>
      <c r="I717" s="2" t="s">
        <v>17</v>
      </c>
      <c r="J717" s="24" t="s">
        <v>1054</v>
      </c>
      <c r="K717" s="3">
        <v>45993</v>
      </c>
      <c r="L717" s="2">
        <v>4</v>
      </c>
      <c r="M717" s="2">
        <v>1</v>
      </c>
      <c r="N717" s="2">
        <v>2</v>
      </c>
      <c r="O717" s="36">
        <v>7</v>
      </c>
      <c r="P717" s="24" t="str" cm="1">
        <f t="array" ref="P717">_xlfn.IFS(O717&lt;=6,"Detractors",AND(O717&gt;=7,O717&lt;=8),"Passives",AND(O717&gt;8,O717&lt;=10),"Promoters",O717="Not Available","NA")</f>
        <v>Passives</v>
      </c>
    </row>
    <row r="718" spans="1:16" ht="14.25" customHeight="1" x14ac:dyDescent="0.3">
      <c r="A718" s="2" t="s">
        <v>744</v>
      </c>
      <c r="B718" s="2" t="s">
        <v>15</v>
      </c>
      <c r="C718" s="2" t="s">
        <v>16</v>
      </c>
      <c r="D718" s="3">
        <v>45948</v>
      </c>
      <c r="E718" s="3">
        <v>45950</v>
      </c>
      <c r="F718" s="3">
        <v>45954</v>
      </c>
      <c r="G718" s="3">
        <v>45958</v>
      </c>
      <c r="H718" s="23" t="str">
        <f t="shared" si="11"/>
        <v>Delivered</v>
      </c>
      <c r="I718" s="2" t="s">
        <v>17</v>
      </c>
      <c r="J718" s="24" t="s">
        <v>1054</v>
      </c>
      <c r="K718" s="3">
        <v>45969</v>
      </c>
      <c r="L718" s="2">
        <v>2</v>
      </c>
      <c r="M718" s="2">
        <v>4</v>
      </c>
      <c r="N718" s="2">
        <v>4</v>
      </c>
      <c r="O718" s="36">
        <v>9</v>
      </c>
      <c r="P718" s="24" t="str" cm="1">
        <f t="array" ref="P718">_xlfn.IFS(O718&lt;=6,"Detractors",AND(O718&gt;=7,O718&lt;=8),"Passives",AND(O718&gt;8,O718&lt;=10),"Promoters",O718="Not Available","NA")</f>
        <v>Promoters</v>
      </c>
    </row>
    <row r="719" spans="1:16" ht="14.25" customHeight="1" x14ac:dyDescent="0.3">
      <c r="A719" s="42" t="s">
        <v>745</v>
      </c>
      <c r="B719" s="2" t="s">
        <v>19</v>
      </c>
      <c r="C719" s="2" t="s">
        <v>30</v>
      </c>
      <c r="D719" s="3">
        <v>45959</v>
      </c>
      <c r="E719" s="3">
        <v>45963</v>
      </c>
      <c r="F719" s="3">
        <v>45965</v>
      </c>
      <c r="G719" s="3">
        <v>45967</v>
      </c>
      <c r="H719" s="23" t="str">
        <f t="shared" si="11"/>
        <v>Delivered</v>
      </c>
      <c r="I719" s="2" t="s">
        <v>17</v>
      </c>
      <c r="J719" s="24" t="s">
        <v>1054</v>
      </c>
      <c r="K719" s="3">
        <v>45977</v>
      </c>
      <c r="L719" s="2">
        <v>4</v>
      </c>
      <c r="M719" s="2">
        <v>2</v>
      </c>
      <c r="N719" s="2">
        <v>2</v>
      </c>
      <c r="O719" s="36">
        <v>7</v>
      </c>
      <c r="P719" s="24" t="str" cm="1">
        <f t="array" ref="P719">_xlfn.IFS(O719&lt;=6,"Detractors",AND(O719&gt;=7,O719&lt;=8),"Passives",AND(O719&gt;8,O719&lt;=10),"Promoters",O719="Not Available","NA")</f>
        <v>Passives</v>
      </c>
    </row>
    <row r="720" spans="1:16" ht="14.25" customHeight="1" x14ac:dyDescent="0.3">
      <c r="A720" s="42" t="s">
        <v>746</v>
      </c>
      <c r="B720" s="2" t="s">
        <v>19</v>
      </c>
      <c r="C720" s="2" t="s">
        <v>30</v>
      </c>
      <c r="D720" s="3">
        <v>45942</v>
      </c>
      <c r="E720" s="3">
        <v>45943</v>
      </c>
      <c r="F720" s="3">
        <v>45944</v>
      </c>
      <c r="G720" s="3">
        <v>45951</v>
      </c>
      <c r="H720" s="23" t="str">
        <f t="shared" si="11"/>
        <v>Delivered</v>
      </c>
      <c r="I720" s="2" t="s">
        <v>17</v>
      </c>
      <c r="J720" s="24" t="s">
        <v>1054</v>
      </c>
      <c r="K720" s="3">
        <v>45975</v>
      </c>
      <c r="L720" s="2">
        <v>1</v>
      </c>
      <c r="M720" s="2">
        <v>1</v>
      </c>
      <c r="N720" s="2">
        <v>7</v>
      </c>
      <c r="O720" s="36">
        <v>2</v>
      </c>
      <c r="P720" s="24" t="str" cm="1">
        <f t="array" ref="P720">_xlfn.IFS(O720&lt;=6,"Detractors",AND(O720&gt;=7,O720&lt;=8),"Passives",AND(O720&gt;8,O720&lt;=10),"Promoters",O720="Not Available","NA")</f>
        <v>Detractors</v>
      </c>
    </row>
    <row r="721" spans="1:16" ht="14.25" customHeight="1" x14ac:dyDescent="0.3">
      <c r="A721" s="2" t="s">
        <v>747</v>
      </c>
      <c r="B721" s="2" t="s">
        <v>19</v>
      </c>
      <c r="C721" s="2" t="s">
        <v>16</v>
      </c>
      <c r="D721" s="3">
        <v>45947</v>
      </c>
      <c r="E721" s="3">
        <v>45950</v>
      </c>
      <c r="F721" s="3">
        <v>45953</v>
      </c>
      <c r="G721" s="3">
        <v>45958</v>
      </c>
      <c r="H721" s="23" t="str">
        <f t="shared" si="11"/>
        <v>Delivered</v>
      </c>
      <c r="I721" s="2" t="s">
        <v>17</v>
      </c>
      <c r="J721" s="24" t="s">
        <v>1054</v>
      </c>
      <c r="K721" s="3">
        <v>45976</v>
      </c>
      <c r="L721" s="2">
        <v>3</v>
      </c>
      <c r="M721" s="2">
        <v>3</v>
      </c>
      <c r="N721" s="2">
        <v>5</v>
      </c>
      <c r="O721" s="36">
        <v>7</v>
      </c>
      <c r="P721" s="24" t="str" cm="1">
        <f t="array" ref="P721">_xlfn.IFS(O721&lt;=6,"Detractors",AND(O721&gt;=7,O721&lt;=8),"Passives",AND(O721&gt;8,O721&lt;=10),"Promoters",O721="Not Available","NA")</f>
        <v>Passives</v>
      </c>
    </row>
    <row r="722" spans="1:16" ht="14.25" customHeight="1" x14ac:dyDescent="0.3">
      <c r="A722" s="2" t="s">
        <v>748</v>
      </c>
      <c r="B722" s="2" t="s">
        <v>21</v>
      </c>
      <c r="C722" s="2" t="s">
        <v>16</v>
      </c>
      <c r="D722" s="3">
        <v>45947</v>
      </c>
      <c r="E722" s="3">
        <v>45950</v>
      </c>
      <c r="F722" s="3">
        <v>45955</v>
      </c>
      <c r="G722" s="3">
        <v>45962</v>
      </c>
      <c r="H722" s="23" t="str">
        <f t="shared" si="11"/>
        <v>Delivered</v>
      </c>
      <c r="I722" s="2" t="s">
        <v>17</v>
      </c>
      <c r="J722" s="24" t="s">
        <v>1054</v>
      </c>
      <c r="K722" s="3">
        <v>45978</v>
      </c>
      <c r="L722" s="2">
        <v>3</v>
      </c>
      <c r="M722" s="2">
        <v>5</v>
      </c>
      <c r="N722" s="2">
        <v>7</v>
      </c>
      <c r="O722" s="36">
        <v>4</v>
      </c>
      <c r="P722" s="24" t="str" cm="1">
        <f t="array" ref="P722">_xlfn.IFS(O722&lt;=6,"Detractors",AND(O722&gt;=7,O722&lt;=8),"Passives",AND(O722&gt;8,O722&lt;=10),"Promoters",O722="Not Available","NA")</f>
        <v>Detractors</v>
      </c>
    </row>
    <row r="723" spans="1:16" ht="14.25" customHeight="1" x14ac:dyDescent="0.3">
      <c r="A723" s="2" t="s">
        <v>749</v>
      </c>
      <c r="B723" s="2" t="s">
        <v>21</v>
      </c>
      <c r="C723" s="2" t="s">
        <v>16</v>
      </c>
      <c r="D723" s="3">
        <v>45960</v>
      </c>
      <c r="E723" s="3">
        <v>45961</v>
      </c>
      <c r="F723" s="3">
        <v>45966</v>
      </c>
      <c r="G723" s="3">
        <v>45973</v>
      </c>
      <c r="H723" s="23" t="str">
        <f t="shared" si="11"/>
        <v>Delivered</v>
      </c>
      <c r="I723" s="2" t="s">
        <v>17</v>
      </c>
      <c r="J723" s="24" t="s">
        <v>1054</v>
      </c>
      <c r="K723" s="3">
        <v>45988</v>
      </c>
      <c r="L723" s="2">
        <v>1</v>
      </c>
      <c r="M723" s="2">
        <v>5</v>
      </c>
      <c r="N723" s="2">
        <v>7</v>
      </c>
      <c r="O723" s="36">
        <v>6</v>
      </c>
      <c r="P723" s="24" t="str" cm="1">
        <f t="array" ref="P723">_xlfn.IFS(O723&lt;=6,"Detractors",AND(O723&gt;=7,O723&lt;=8),"Passives",AND(O723&gt;8,O723&lt;=10),"Promoters",O723="Not Available","NA")</f>
        <v>Detractors</v>
      </c>
    </row>
    <row r="724" spans="1:16" ht="14.25" customHeight="1" x14ac:dyDescent="0.3">
      <c r="A724" s="42" t="s">
        <v>750</v>
      </c>
      <c r="B724" s="2" t="s">
        <v>32</v>
      </c>
      <c r="C724" s="2" t="s">
        <v>30</v>
      </c>
      <c r="D724" s="3">
        <v>45939</v>
      </c>
      <c r="E724" s="3">
        <v>45944</v>
      </c>
      <c r="F724" s="3">
        <v>45949</v>
      </c>
      <c r="G724" s="3">
        <v>45953</v>
      </c>
      <c r="H724" s="23" t="str">
        <f t="shared" si="11"/>
        <v>Delivered</v>
      </c>
      <c r="I724" s="2" t="s">
        <v>17</v>
      </c>
      <c r="J724" s="24" t="s">
        <v>1054</v>
      </c>
      <c r="K724" s="3">
        <v>45981</v>
      </c>
      <c r="L724" s="2">
        <v>5</v>
      </c>
      <c r="M724" s="2">
        <v>5</v>
      </c>
      <c r="N724" s="2">
        <v>4</v>
      </c>
      <c r="O724" s="36">
        <v>3</v>
      </c>
      <c r="P724" s="24" t="str" cm="1">
        <f t="array" ref="P724">_xlfn.IFS(O724&lt;=6,"Detractors",AND(O724&gt;=7,O724&lt;=8),"Passives",AND(O724&gt;8,O724&lt;=10),"Promoters",O724="Not Available","NA")</f>
        <v>Detractors</v>
      </c>
    </row>
    <row r="725" spans="1:16" ht="14.25" customHeight="1" x14ac:dyDescent="0.3">
      <c r="A725" s="42" t="s">
        <v>751</v>
      </c>
      <c r="B725" s="2" t="s">
        <v>15</v>
      </c>
      <c r="C725" s="2" t="s">
        <v>30</v>
      </c>
      <c r="D725" s="3">
        <v>45957</v>
      </c>
      <c r="E725" s="3">
        <v>45962</v>
      </c>
      <c r="F725" s="3">
        <v>45966</v>
      </c>
      <c r="G725" s="3">
        <v>45968</v>
      </c>
      <c r="H725" s="23" t="str">
        <f t="shared" si="11"/>
        <v>Delivered</v>
      </c>
      <c r="I725" s="2" t="s">
        <v>17</v>
      </c>
      <c r="J725" s="24" t="s">
        <v>1054</v>
      </c>
      <c r="K725" s="3">
        <v>45983</v>
      </c>
      <c r="L725" s="2">
        <v>5</v>
      </c>
      <c r="M725" s="2">
        <v>4</v>
      </c>
      <c r="N725" s="2">
        <v>2</v>
      </c>
      <c r="O725" s="36">
        <v>4</v>
      </c>
      <c r="P725" s="24" t="str" cm="1">
        <f t="array" ref="P725">_xlfn.IFS(O725&lt;=6,"Detractors",AND(O725&gt;=7,O725&lt;=8),"Passives",AND(O725&gt;8,O725&lt;=10),"Promoters",O725="Not Available","NA")</f>
        <v>Detractors</v>
      </c>
    </row>
    <row r="726" spans="1:16" ht="14.25" customHeight="1" x14ac:dyDescent="0.3">
      <c r="A726" s="42" t="s">
        <v>752</v>
      </c>
      <c r="B726" s="2" t="s">
        <v>32</v>
      </c>
      <c r="C726" s="2" t="s">
        <v>30</v>
      </c>
      <c r="D726" s="3">
        <v>45936</v>
      </c>
      <c r="E726" s="3">
        <v>45939</v>
      </c>
      <c r="F726" s="3">
        <v>45942</v>
      </c>
      <c r="G726" s="3">
        <v>45945</v>
      </c>
      <c r="H726" s="23" t="str">
        <f t="shared" si="11"/>
        <v>Delivered</v>
      </c>
      <c r="I726" s="2" t="s">
        <v>17</v>
      </c>
      <c r="J726" s="24" t="s">
        <v>1054</v>
      </c>
      <c r="K726" s="3">
        <v>45970</v>
      </c>
      <c r="L726" s="2">
        <v>3</v>
      </c>
      <c r="M726" s="2">
        <v>3</v>
      </c>
      <c r="N726" s="2">
        <v>3</v>
      </c>
      <c r="O726" s="36">
        <v>10</v>
      </c>
      <c r="P726" s="24" t="str" cm="1">
        <f t="array" ref="P726">_xlfn.IFS(O726&lt;=6,"Detractors",AND(O726&gt;=7,O726&lt;=8),"Passives",AND(O726&gt;8,O726&lt;=10),"Promoters",O726="Not Available","NA")</f>
        <v>Promoters</v>
      </c>
    </row>
    <row r="727" spans="1:16" ht="14.25" customHeight="1" x14ac:dyDescent="0.3">
      <c r="A727" s="42" t="s">
        <v>753</v>
      </c>
      <c r="B727" s="2" t="s">
        <v>15</v>
      </c>
      <c r="C727" s="2" t="s">
        <v>30</v>
      </c>
      <c r="D727" s="3">
        <v>45939</v>
      </c>
      <c r="E727" s="3">
        <v>45942</v>
      </c>
      <c r="F727" s="3">
        <v>45943</v>
      </c>
      <c r="G727" s="3">
        <v>45949</v>
      </c>
      <c r="H727" s="23" t="str">
        <f t="shared" si="11"/>
        <v>Delivered</v>
      </c>
      <c r="I727" s="2" t="s">
        <v>17</v>
      </c>
      <c r="J727" s="24" t="s">
        <v>1054</v>
      </c>
      <c r="K727" s="3">
        <v>45961</v>
      </c>
      <c r="L727" s="2">
        <v>3</v>
      </c>
      <c r="M727" s="2">
        <v>1</v>
      </c>
      <c r="N727" s="2">
        <v>6</v>
      </c>
      <c r="O727" s="36">
        <v>8</v>
      </c>
      <c r="P727" s="24" t="str" cm="1">
        <f t="array" ref="P727">_xlfn.IFS(O727&lt;=6,"Detractors",AND(O727&gt;=7,O727&lt;=8),"Passives",AND(O727&gt;8,O727&lt;=10),"Promoters",O727="Not Available","NA")</f>
        <v>Passives</v>
      </c>
    </row>
    <row r="728" spans="1:16" ht="14.25" customHeight="1" x14ac:dyDescent="0.3">
      <c r="A728" s="2" t="s">
        <v>754</v>
      </c>
      <c r="B728" s="2" t="s">
        <v>21</v>
      </c>
      <c r="C728" s="2" t="s">
        <v>16</v>
      </c>
      <c r="D728" s="3">
        <v>45960</v>
      </c>
      <c r="E728" s="3">
        <v>45962</v>
      </c>
      <c r="F728" s="3">
        <v>45965</v>
      </c>
      <c r="G728" s="3">
        <v>45968</v>
      </c>
      <c r="H728" s="23" t="str">
        <f t="shared" si="11"/>
        <v>Delivered</v>
      </c>
      <c r="I728" s="2" t="s">
        <v>17</v>
      </c>
      <c r="J728" s="24" t="s">
        <v>1054</v>
      </c>
      <c r="K728" s="3">
        <v>45982</v>
      </c>
      <c r="L728" s="2">
        <v>2</v>
      </c>
      <c r="M728" s="2">
        <v>3</v>
      </c>
      <c r="N728" s="2">
        <v>3</v>
      </c>
      <c r="O728" s="36">
        <v>10</v>
      </c>
      <c r="P728" s="24" t="str" cm="1">
        <f t="array" ref="P728">_xlfn.IFS(O728&lt;=6,"Detractors",AND(O728&gt;=7,O728&lt;=8),"Passives",AND(O728&gt;8,O728&lt;=10),"Promoters",O728="Not Available","NA")</f>
        <v>Promoters</v>
      </c>
    </row>
    <row r="729" spans="1:16" ht="14.25" customHeight="1" x14ac:dyDescent="0.3">
      <c r="A729" s="2" t="s">
        <v>755</v>
      </c>
      <c r="B729" s="2" t="s">
        <v>21</v>
      </c>
      <c r="C729" s="2" t="s">
        <v>22</v>
      </c>
      <c r="D729" s="3">
        <v>45957</v>
      </c>
      <c r="H729" s="23" t="str">
        <f t="shared" si="11"/>
        <v>Not Delivered</v>
      </c>
      <c r="I729" s="2" t="s">
        <v>23</v>
      </c>
      <c r="J729" s="2" t="s">
        <v>33</v>
      </c>
      <c r="L729">
        <v>0</v>
      </c>
      <c r="M729">
        <v>0</v>
      </c>
      <c r="N729">
        <v>0</v>
      </c>
      <c r="O729" t="s">
        <v>1080</v>
      </c>
      <c r="P729" s="24" t="str" cm="1">
        <f t="array" ref="P729">_xlfn.IFS(O729&lt;=6,"Detractors",AND(O729&gt;=7,O729&lt;=8),"Passives",AND(O729&gt;8,O729&lt;=10),"Promoters",O729="Not Available","NA")</f>
        <v>NA</v>
      </c>
    </row>
    <row r="730" spans="1:16" ht="14.25" customHeight="1" x14ac:dyDescent="0.3">
      <c r="A730" s="2" t="s">
        <v>756</v>
      </c>
      <c r="B730" s="2" t="s">
        <v>21</v>
      </c>
      <c r="C730" s="2" t="s">
        <v>16</v>
      </c>
      <c r="D730" s="3">
        <v>45961</v>
      </c>
      <c r="E730" s="3">
        <v>45963</v>
      </c>
      <c r="F730" s="3">
        <v>45967</v>
      </c>
      <c r="G730" s="3">
        <v>45972</v>
      </c>
      <c r="H730" s="23" t="str">
        <f t="shared" si="11"/>
        <v>Delivered</v>
      </c>
      <c r="I730" s="2" t="s">
        <v>17</v>
      </c>
      <c r="J730" s="24" t="s">
        <v>1054</v>
      </c>
      <c r="K730" s="3">
        <v>46001</v>
      </c>
      <c r="L730" s="2">
        <v>2</v>
      </c>
      <c r="M730" s="2">
        <v>4</v>
      </c>
      <c r="N730" s="2">
        <v>5</v>
      </c>
      <c r="O730" s="36">
        <v>3</v>
      </c>
      <c r="P730" s="24" t="str" cm="1">
        <f t="array" ref="P730">_xlfn.IFS(O730&lt;=6,"Detractors",AND(O730&gt;=7,O730&lt;=8),"Passives",AND(O730&gt;8,O730&lt;=10),"Promoters",O730="Not Available","NA")</f>
        <v>Detractors</v>
      </c>
    </row>
    <row r="731" spans="1:16" ht="14.25" customHeight="1" x14ac:dyDescent="0.3">
      <c r="A731" s="2" t="s">
        <v>757</v>
      </c>
      <c r="B731" s="2" t="s">
        <v>32</v>
      </c>
      <c r="C731" s="2" t="s">
        <v>16</v>
      </c>
      <c r="D731" s="3">
        <v>45946</v>
      </c>
      <c r="E731" s="3">
        <v>45949</v>
      </c>
      <c r="F731" s="3">
        <v>45953</v>
      </c>
      <c r="G731" s="3">
        <v>45958</v>
      </c>
      <c r="H731" s="23" t="str">
        <f t="shared" si="11"/>
        <v>Delivered</v>
      </c>
      <c r="I731" s="2" t="s">
        <v>17</v>
      </c>
      <c r="J731" s="24" t="s">
        <v>1054</v>
      </c>
      <c r="K731" s="3">
        <v>45981</v>
      </c>
      <c r="L731" s="2">
        <v>3</v>
      </c>
      <c r="M731" s="2">
        <v>4</v>
      </c>
      <c r="N731" s="2">
        <v>5</v>
      </c>
      <c r="O731" s="36">
        <v>9</v>
      </c>
      <c r="P731" s="24" t="str" cm="1">
        <f t="array" ref="P731">_xlfn.IFS(O731&lt;=6,"Detractors",AND(O731&gt;=7,O731&lt;=8),"Passives",AND(O731&gt;8,O731&lt;=10),"Promoters",O731="Not Available","NA")</f>
        <v>Promoters</v>
      </c>
    </row>
    <row r="732" spans="1:16" ht="14.25" customHeight="1" x14ac:dyDescent="0.3">
      <c r="A732" s="2" t="s">
        <v>758</v>
      </c>
      <c r="B732" s="2" t="s">
        <v>19</v>
      </c>
      <c r="C732" s="2" t="s">
        <v>16</v>
      </c>
      <c r="D732" s="3">
        <v>45961</v>
      </c>
      <c r="E732" s="3">
        <v>45966</v>
      </c>
      <c r="F732" s="3">
        <v>45968</v>
      </c>
      <c r="G732" s="3">
        <v>45970</v>
      </c>
      <c r="H732" s="23" t="str">
        <f t="shared" si="11"/>
        <v>Delivered</v>
      </c>
      <c r="I732" s="2" t="s">
        <v>17</v>
      </c>
      <c r="J732" s="24" t="s">
        <v>1054</v>
      </c>
      <c r="K732" s="3">
        <v>46000</v>
      </c>
      <c r="L732" s="2">
        <v>5</v>
      </c>
      <c r="M732" s="2">
        <v>2</v>
      </c>
      <c r="N732" s="2">
        <v>2</v>
      </c>
      <c r="O732" s="36">
        <v>1</v>
      </c>
      <c r="P732" s="24" t="str" cm="1">
        <f t="array" ref="P732">_xlfn.IFS(O732&lt;=6,"Detractors",AND(O732&gt;=7,O732&lt;=8),"Passives",AND(O732&gt;8,O732&lt;=10),"Promoters",O732="Not Available","NA")</f>
        <v>Detractors</v>
      </c>
    </row>
    <row r="733" spans="1:16" ht="14.25" customHeight="1" x14ac:dyDescent="0.3">
      <c r="A733" s="2" t="s">
        <v>759</v>
      </c>
      <c r="B733" s="2" t="s">
        <v>19</v>
      </c>
      <c r="C733" s="2" t="s">
        <v>16</v>
      </c>
      <c r="D733" s="3">
        <v>45956</v>
      </c>
      <c r="E733" s="3">
        <v>45958</v>
      </c>
      <c r="F733" s="3">
        <v>45961</v>
      </c>
      <c r="G733" s="3">
        <v>45964</v>
      </c>
      <c r="H733" s="23" t="str">
        <f t="shared" si="11"/>
        <v>Delivered</v>
      </c>
      <c r="I733" s="2" t="s">
        <v>17</v>
      </c>
      <c r="J733" s="24" t="s">
        <v>1054</v>
      </c>
      <c r="K733" s="3">
        <v>45987</v>
      </c>
      <c r="L733" s="2">
        <v>2</v>
      </c>
      <c r="M733" s="2">
        <v>3</v>
      </c>
      <c r="N733" s="2">
        <v>3</v>
      </c>
      <c r="O733" s="36">
        <v>8</v>
      </c>
      <c r="P733" s="24" t="str" cm="1">
        <f t="array" ref="P733">_xlfn.IFS(O733&lt;=6,"Detractors",AND(O733&gt;=7,O733&lt;=8),"Passives",AND(O733&gt;8,O733&lt;=10),"Promoters",O733="Not Available","NA")</f>
        <v>Passives</v>
      </c>
    </row>
    <row r="734" spans="1:16" ht="14.25" customHeight="1" x14ac:dyDescent="0.3">
      <c r="A734" s="2" t="s">
        <v>760</v>
      </c>
      <c r="B734" s="2" t="s">
        <v>21</v>
      </c>
      <c r="C734" s="2" t="s">
        <v>16</v>
      </c>
      <c r="D734" s="3">
        <v>45940</v>
      </c>
      <c r="E734" s="3">
        <v>45941</v>
      </c>
      <c r="F734" s="3">
        <v>45946</v>
      </c>
      <c r="G734" s="3">
        <v>45953</v>
      </c>
      <c r="H734" s="23" t="str">
        <f t="shared" si="11"/>
        <v>Delivered</v>
      </c>
      <c r="I734" s="2" t="s">
        <v>17</v>
      </c>
      <c r="J734" s="24" t="s">
        <v>1054</v>
      </c>
      <c r="K734" s="3">
        <v>45975</v>
      </c>
      <c r="L734" s="2">
        <v>1</v>
      </c>
      <c r="M734" s="2">
        <v>5</v>
      </c>
      <c r="N734" s="2">
        <v>7</v>
      </c>
      <c r="O734" s="36">
        <v>6</v>
      </c>
      <c r="P734" s="24" t="str" cm="1">
        <f t="array" ref="P734">_xlfn.IFS(O734&lt;=6,"Detractors",AND(O734&gt;=7,O734&lt;=8),"Passives",AND(O734&gt;8,O734&lt;=10),"Promoters",O734="Not Available","NA")</f>
        <v>Detractors</v>
      </c>
    </row>
    <row r="735" spans="1:16" ht="14.25" customHeight="1" x14ac:dyDescent="0.3">
      <c r="A735" s="2" t="s">
        <v>761</v>
      </c>
      <c r="B735" s="2" t="s">
        <v>19</v>
      </c>
      <c r="C735" s="2" t="s">
        <v>16</v>
      </c>
      <c r="D735" s="3">
        <v>45954</v>
      </c>
      <c r="E735" s="3">
        <v>45956</v>
      </c>
      <c r="F735" s="3">
        <v>45960</v>
      </c>
      <c r="G735" s="3">
        <v>45964</v>
      </c>
      <c r="H735" s="23" t="str">
        <f t="shared" si="11"/>
        <v>Delivered</v>
      </c>
      <c r="I735" s="2" t="s">
        <v>17</v>
      </c>
      <c r="J735" s="24" t="s">
        <v>1054</v>
      </c>
      <c r="K735" s="3">
        <v>45987</v>
      </c>
      <c r="L735" s="2">
        <v>2</v>
      </c>
      <c r="M735" s="2">
        <v>4</v>
      </c>
      <c r="N735" s="2">
        <v>4</v>
      </c>
      <c r="O735" s="36">
        <v>4</v>
      </c>
      <c r="P735" s="24" t="str" cm="1">
        <f t="array" ref="P735">_xlfn.IFS(O735&lt;=6,"Detractors",AND(O735&gt;=7,O735&lt;=8),"Passives",AND(O735&gt;8,O735&lt;=10),"Promoters",O735="Not Available","NA")</f>
        <v>Detractors</v>
      </c>
    </row>
    <row r="736" spans="1:16" ht="14.25" customHeight="1" x14ac:dyDescent="0.3">
      <c r="A736" s="2" t="s">
        <v>762</v>
      </c>
      <c r="B736" s="2" t="s">
        <v>19</v>
      </c>
      <c r="C736" s="2" t="s">
        <v>16</v>
      </c>
      <c r="D736" s="3">
        <v>45958</v>
      </c>
      <c r="E736" s="3">
        <v>45960</v>
      </c>
      <c r="F736" s="3">
        <v>45964</v>
      </c>
      <c r="G736" s="3">
        <v>45966</v>
      </c>
      <c r="H736" s="23" t="str">
        <f t="shared" si="11"/>
        <v>Delivered</v>
      </c>
      <c r="I736" s="2" t="s">
        <v>17</v>
      </c>
      <c r="J736" s="24" t="s">
        <v>1054</v>
      </c>
      <c r="K736" s="3">
        <v>45991</v>
      </c>
      <c r="L736" s="2">
        <v>2</v>
      </c>
      <c r="M736" s="2">
        <v>4</v>
      </c>
      <c r="N736" s="2">
        <v>2</v>
      </c>
      <c r="O736" s="36">
        <v>4</v>
      </c>
      <c r="P736" s="24" t="str" cm="1">
        <f t="array" ref="P736">_xlfn.IFS(O736&lt;=6,"Detractors",AND(O736&gt;=7,O736&lt;=8),"Passives",AND(O736&gt;8,O736&lt;=10),"Promoters",O736="Not Available","NA")</f>
        <v>Detractors</v>
      </c>
    </row>
    <row r="737" spans="1:16" ht="14.25" customHeight="1" x14ac:dyDescent="0.3">
      <c r="A737" s="42" t="s">
        <v>763</v>
      </c>
      <c r="B737" s="2" t="s">
        <v>32</v>
      </c>
      <c r="C737" s="2" t="s">
        <v>30</v>
      </c>
      <c r="D737" s="3">
        <v>45941</v>
      </c>
      <c r="E737" s="3">
        <v>45943</v>
      </c>
      <c r="F737" s="3">
        <v>45945</v>
      </c>
      <c r="G737" s="3">
        <v>45947</v>
      </c>
      <c r="H737" s="23" t="str">
        <f t="shared" si="11"/>
        <v>Delivered</v>
      </c>
      <c r="I737" s="2" t="s">
        <v>17</v>
      </c>
      <c r="J737" s="24" t="s">
        <v>1054</v>
      </c>
      <c r="K737" s="3">
        <v>45969</v>
      </c>
      <c r="L737" s="2">
        <v>2</v>
      </c>
      <c r="M737" s="2">
        <v>2</v>
      </c>
      <c r="N737" s="2">
        <v>2</v>
      </c>
      <c r="O737" s="36">
        <v>9</v>
      </c>
      <c r="P737" s="24" t="str" cm="1">
        <f t="array" ref="P737">_xlfn.IFS(O737&lt;=6,"Detractors",AND(O737&gt;=7,O737&lt;=8),"Passives",AND(O737&gt;8,O737&lt;=10),"Promoters",O737="Not Available","NA")</f>
        <v>Promoters</v>
      </c>
    </row>
    <row r="738" spans="1:16" ht="14.25" customHeight="1" x14ac:dyDescent="0.3">
      <c r="A738" s="2" t="s">
        <v>764</v>
      </c>
      <c r="B738" s="2" t="s">
        <v>15</v>
      </c>
      <c r="C738" s="2" t="s">
        <v>16</v>
      </c>
      <c r="D738" s="3">
        <v>45956</v>
      </c>
      <c r="E738" s="3">
        <v>45960</v>
      </c>
      <c r="F738" s="3">
        <v>45965</v>
      </c>
      <c r="G738" s="3">
        <v>45968</v>
      </c>
      <c r="H738" s="23" t="str">
        <f t="shared" si="11"/>
        <v>Delivered</v>
      </c>
      <c r="I738" s="2" t="s">
        <v>17</v>
      </c>
      <c r="J738" s="24" t="s">
        <v>1054</v>
      </c>
      <c r="K738" s="3">
        <v>45978</v>
      </c>
      <c r="L738" s="2">
        <v>4</v>
      </c>
      <c r="M738" s="2">
        <v>5</v>
      </c>
      <c r="N738" s="2">
        <v>3</v>
      </c>
      <c r="O738" s="36">
        <v>0</v>
      </c>
      <c r="P738" s="24" t="str" cm="1">
        <f t="array" ref="P738">_xlfn.IFS(O738&lt;=6,"Detractors",AND(O738&gt;=7,O738&lt;=8),"Passives",AND(O738&gt;8,O738&lt;=10),"Promoters",O738="Not Available","NA")</f>
        <v>Detractors</v>
      </c>
    </row>
    <row r="739" spans="1:16" ht="14.25" customHeight="1" x14ac:dyDescent="0.3">
      <c r="A739" s="2" t="s">
        <v>765</v>
      </c>
      <c r="B739" s="2" t="s">
        <v>21</v>
      </c>
      <c r="C739" s="2" t="s">
        <v>22</v>
      </c>
      <c r="D739" s="3">
        <v>45934</v>
      </c>
      <c r="H739" s="23" t="str">
        <f t="shared" si="11"/>
        <v>Not Delivered</v>
      </c>
      <c r="I739" s="2" t="s">
        <v>23</v>
      </c>
      <c r="J739" s="2" t="s">
        <v>26</v>
      </c>
      <c r="L739">
        <v>0</v>
      </c>
      <c r="M739">
        <v>0</v>
      </c>
      <c r="N739">
        <v>0</v>
      </c>
      <c r="O739" t="s">
        <v>1080</v>
      </c>
      <c r="P739" s="24" t="str" cm="1">
        <f t="array" ref="P739">_xlfn.IFS(O739&lt;=6,"Detractors",AND(O739&gt;=7,O739&lt;=8),"Passives",AND(O739&gt;8,O739&lt;=10),"Promoters",O739="Not Available","NA")</f>
        <v>NA</v>
      </c>
    </row>
    <row r="740" spans="1:16" ht="14.25" customHeight="1" x14ac:dyDescent="0.3">
      <c r="A740" s="42" t="s">
        <v>766</v>
      </c>
      <c r="B740" s="2" t="s">
        <v>21</v>
      </c>
      <c r="C740" s="2" t="s">
        <v>30</v>
      </c>
      <c r="D740" s="3">
        <v>45945</v>
      </c>
      <c r="E740" s="3">
        <v>45946</v>
      </c>
      <c r="F740" s="3">
        <v>45950</v>
      </c>
      <c r="G740" s="3">
        <v>45956</v>
      </c>
      <c r="H740" s="23" t="str">
        <f t="shared" si="11"/>
        <v>Delivered</v>
      </c>
      <c r="I740" s="2" t="s">
        <v>17</v>
      </c>
      <c r="J740" s="24" t="s">
        <v>1054</v>
      </c>
      <c r="K740" s="3">
        <v>45967</v>
      </c>
      <c r="L740" s="2">
        <v>1</v>
      </c>
      <c r="M740" s="2">
        <v>4</v>
      </c>
      <c r="N740" s="2">
        <v>6</v>
      </c>
      <c r="O740" s="36">
        <v>7</v>
      </c>
      <c r="P740" s="24" t="str" cm="1">
        <f t="array" ref="P740">_xlfn.IFS(O740&lt;=6,"Detractors",AND(O740&gt;=7,O740&lt;=8),"Passives",AND(O740&gt;8,O740&lt;=10),"Promoters",O740="Not Available","NA")</f>
        <v>Passives</v>
      </c>
    </row>
    <row r="741" spans="1:16" ht="14.25" customHeight="1" x14ac:dyDescent="0.3">
      <c r="A741" s="42" t="s">
        <v>767</v>
      </c>
      <c r="B741" s="2" t="s">
        <v>32</v>
      </c>
      <c r="C741" s="2" t="s">
        <v>30</v>
      </c>
      <c r="D741" s="3">
        <v>45961</v>
      </c>
      <c r="E741" s="3">
        <v>45964</v>
      </c>
      <c r="F741" s="3">
        <v>45965</v>
      </c>
      <c r="G741" s="3">
        <v>45970</v>
      </c>
      <c r="H741" s="23" t="str">
        <f t="shared" si="11"/>
        <v>Delivered</v>
      </c>
      <c r="I741" s="2" t="s">
        <v>17</v>
      </c>
      <c r="J741" s="24" t="s">
        <v>1054</v>
      </c>
      <c r="K741" s="3">
        <v>45997</v>
      </c>
      <c r="L741" s="2">
        <v>3</v>
      </c>
      <c r="M741" s="2">
        <v>1</v>
      </c>
      <c r="N741" s="2">
        <v>5</v>
      </c>
      <c r="O741" s="36">
        <v>7</v>
      </c>
      <c r="P741" s="24" t="str" cm="1">
        <f t="array" ref="P741">_xlfn.IFS(O741&lt;=6,"Detractors",AND(O741&gt;=7,O741&lt;=8),"Passives",AND(O741&gt;8,O741&lt;=10),"Promoters",O741="Not Available","NA")</f>
        <v>Passives</v>
      </c>
    </row>
    <row r="742" spans="1:16" ht="14.25" customHeight="1" x14ac:dyDescent="0.3">
      <c r="A742" s="2" t="s">
        <v>768</v>
      </c>
      <c r="B742" s="2" t="s">
        <v>32</v>
      </c>
      <c r="C742" s="2" t="s">
        <v>16</v>
      </c>
      <c r="D742" s="3">
        <v>45933</v>
      </c>
      <c r="E742" s="3">
        <v>45938</v>
      </c>
      <c r="F742" s="3">
        <v>45943</v>
      </c>
      <c r="G742" s="3">
        <v>45950</v>
      </c>
      <c r="H742" s="23" t="str">
        <f t="shared" si="11"/>
        <v>Delivered</v>
      </c>
      <c r="I742" s="2" t="s">
        <v>17</v>
      </c>
      <c r="J742" s="24" t="s">
        <v>1054</v>
      </c>
      <c r="K742" s="3">
        <v>45966</v>
      </c>
      <c r="L742" s="2">
        <v>5</v>
      </c>
      <c r="M742" s="2">
        <v>5</v>
      </c>
      <c r="N742" s="2">
        <v>7</v>
      </c>
      <c r="O742" s="36">
        <v>1</v>
      </c>
      <c r="P742" s="24" t="str" cm="1">
        <f t="array" ref="P742">_xlfn.IFS(O742&lt;=6,"Detractors",AND(O742&gt;=7,O742&lt;=8),"Passives",AND(O742&gt;8,O742&lt;=10),"Promoters",O742="Not Available","NA")</f>
        <v>Detractors</v>
      </c>
    </row>
    <row r="743" spans="1:16" ht="14.25" customHeight="1" x14ac:dyDescent="0.3">
      <c r="A743" s="2" t="s">
        <v>769</v>
      </c>
      <c r="B743" s="2" t="s">
        <v>19</v>
      </c>
      <c r="C743" s="2" t="s">
        <v>16</v>
      </c>
      <c r="D743" s="3">
        <v>45935</v>
      </c>
      <c r="E743" s="3">
        <v>45940</v>
      </c>
      <c r="F743" s="3">
        <v>45943</v>
      </c>
      <c r="G743" s="3">
        <v>45947</v>
      </c>
      <c r="H743" s="23" t="str">
        <f t="shared" si="11"/>
        <v>Delivered</v>
      </c>
      <c r="I743" s="2" t="s">
        <v>17</v>
      </c>
      <c r="J743" s="24" t="s">
        <v>1054</v>
      </c>
      <c r="K743" s="3">
        <v>45968</v>
      </c>
      <c r="L743" s="2">
        <v>5</v>
      </c>
      <c r="M743" s="2">
        <v>3</v>
      </c>
      <c r="N743" s="2">
        <v>4</v>
      </c>
      <c r="O743" s="36">
        <v>2</v>
      </c>
      <c r="P743" s="24" t="str" cm="1">
        <f t="array" ref="P743">_xlfn.IFS(O743&lt;=6,"Detractors",AND(O743&gt;=7,O743&lt;=8),"Passives",AND(O743&gt;8,O743&lt;=10),"Promoters",O743="Not Available","NA")</f>
        <v>Detractors</v>
      </c>
    </row>
    <row r="744" spans="1:16" ht="14.25" customHeight="1" x14ac:dyDescent="0.3">
      <c r="A744" s="2" t="s">
        <v>770</v>
      </c>
      <c r="B744" s="2" t="s">
        <v>21</v>
      </c>
      <c r="C744" s="2" t="s">
        <v>16</v>
      </c>
      <c r="D744" s="3">
        <v>45955</v>
      </c>
      <c r="E744" s="3">
        <v>45958</v>
      </c>
      <c r="F744" s="3">
        <v>45960</v>
      </c>
      <c r="G744" s="3">
        <v>45965</v>
      </c>
      <c r="H744" s="23" t="str">
        <f t="shared" si="11"/>
        <v>Delivered</v>
      </c>
      <c r="I744" s="2" t="s">
        <v>17</v>
      </c>
      <c r="J744" s="24" t="s">
        <v>1054</v>
      </c>
      <c r="K744" s="3">
        <v>45975</v>
      </c>
      <c r="L744" s="2">
        <v>3</v>
      </c>
      <c r="M744" s="2">
        <v>2</v>
      </c>
      <c r="N744" s="2">
        <v>5</v>
      </c>
      <c r="O744" s="36">
        <v>2</v>
      </c>
      <c r="P744" s="24" t="str" cm="1">
        <f t="array" ref="P744">_xlfn.IFS(O744&lt;=6,"Detractors",AND(O744&gt;=7,O744&lt;=8),"Passives",AND(O744&gt;8,O744&lt;=10),"Promoters",O744="Not Available","NA")</f>
        <v>Detractors</v>
      </c>
    </row>
    <row r="745" spans="1:16" ht="14.25" customHeight="1" x14ac:dyDescent="0.3">
      <c r="A745" s="2" t="s">
        <v>771</v>
      </c>
      <c r="B745" s="2" t="s">
        <v>15</v>
      </c>
      <c r="C745" s="2" t="s">
        <v>16</v>
      </c>
      <c r="D745" s="3">
        <v>45961</v>
      </c>
      <c r="E745" s="3">
        <v>45965</v>
      </c>
      <c r="F745" s="3">
        <v>45966</v>
      </c>
      <c r="G745" s="3">
        <v>45973</v>
      </c>
      <c r="H745" s="23" t="str">
        <f t="shared" si="11"/>
        <v>Delivered</v>
      </c>
      <c r="I745" s="2" t="s">
        <v>17</v>
      </c>
      <c r="J745" s="24" t="s">
        <v>1054</v>
      </c>
      <c r="K745" s="3">
        <v>45993</v>
      </c>
      <c r="L745" s="2">
        <v>4</v>
      </c>
      <c r="M745" s="2">
        <v>1</v>
      </c>
      <c r="N745" s="2">
        <v>7</v>
      </c>
      <c r="O745" s="36">
        <v>1</v>
      </c>
      <c r="P745" s="24" t="str" cm="1">
        <f t="array" ref="P745">_xlfn.IFS(O745&lt;=6,"Detractors",AND(O745&gt;=7,O745&lt;=8),"Passives",AND(O745&gt;8,O745&lt;=10),"Promoters",O745="Not Available","NA")</f>
        <v>Detractors</v>
      </c>
    </row>
    <row r="746" spans="1:16" ht="14.25" customHeight="1" x14ac:dyDescent="0.3">
      <c r="A746" s="42" t="s">
        <v>772</v>
      </c>
      <c r="B746" s="2" t="s">
        <v>32</v>
      </c>
      <c r="C746" s="2" t="s">
        <v>30</v>
      </c>
      <c r="D746" s="3">
        <v>45938</v>
      </c>
      <c r="E746" s="3">
        <v>45943</v>
      </c>
      <c r="F746" s="3">
        <v>45944</v>
      </c>
      <c r="G746" s="3">
        <v>45946</v>
      </c>
      <c r="H746" s="23" t="str">
        <f t="shared" si="11"/>
        <v>Delivered</v>
      </c>
      <c r="I746" s="2" t="s">
        <v>17</v>
      </c>
      <c r="J746" s="24" t="s">
        <v>1054</v>
      </c>
      <c r="K746" s="3">
        <v>45972</v>
      </c>
      <c r="L746" s="2">
        <v>5</v>
      </c>
      <c r="M746" s="2">
        <v>1</v>
      </c>
      <c r="N746" s="2">
        <v>2</v>
      </c>
      <c r="O746" s="36">
        <v>5</v>
      </c>
      <c r="P746" s="24" t="str" cm="1">
        <f t="array" ref="P746">_xlfn.IFS(O746&lt;=6,"Detractors",AND(O746&gt;=7,O746&lt;=8),"Passives",AND(O746&gt;8,O746&lt;=10),"Promoters",O746="Not Available","NA")</f>
        <v>Detractors</v>
      </c>
    </row>
    <row r="747" spans="1:16" ht="14.25" customHeight="1" x14ac:dyDescent="0.3">
      <c r="A747" s="2" t="s">
        <v>773</v>
      </c>
      <c r="B747" s="2" t="s">
        <v>15</v>
      </c>
      <c r="C747" s="2" t="s">
        <v>16</v>
      </c>
      <c r="D747" s="3">
        <v>45958</v>
      </c>
      <c r="E747" s="3">
        <v>45960</v>
      </c>
      <c r="F747" s="3">
        <v>45963</v>
      </c>
      <c r="G747" s="3">
        <v>45969</v>
      </c>
      <c r="H747" s="23" t="str">
        <f t="shared" si="11"/>
        <v>Delivered</v>
      </c>
      <c r="I747" s="2" t="s">
        <v>17</v>
      </c>
      <c r="J747" s="24" t="s">
        <v>1054</v>
      </c>
      <c r="K747" s="3">
        <v>45985</v>
      </c>
      <c r="L747" s="2">
        <v>2</v>
      </c>
      <c r="M747" s="2">
        <v>3</v>
      </c>
      <c r="N747" s="2">
        <v>6</v>
      </c>
      <c r="O747" s="36">
        <v>9</v>
      </c>
      <c r="P747" s="24" t="str" cm="1">
        <f t="array" ref="P747">_xlfn.IFS(O747&lt;=6,"Detractors",AND(O747&gt;=7,O747&lt;=8),"Passives",AND(O747&gt;8,O747&lt;=10),"Promoters",O747="Not Available","NA")</f>
        <v>Promoters</v>
      </c>
    </row>
    <row r="748" spans="1:16" ht="14.25" customHeight="1" x14ac:dyDescent="0.3">
      <c r="A748" s="2" t="s">
        <v>774</v>
      </c>
      <c r="B748" s="2" t="s">
        <v>15</v>
      </c>
      <c r="C748" s="2" t="s">
        <v>16</v>
      </c>
      <c r="D748" s="3">
        <v>45952</v>
      </c>
      <c r="E748" s="3">
        <v>45957</v>
      </c>
      <c r="F748" s="3">
        <v>45959</v>
      </c>
      <c r="G748" s="3">
        <v>45961</v>
      </c>
      <c r="H748" s="23" t="str">
        <f t="shared" si="11"/>
        <v>Delivered</v>
      </c>
      <c r="I748" s="2" t="s">
        <v>23</v>
      </c>
      <c r="J748" s="2" t="s">
        <v>101</v>
      </c>
      <c r="L748" s="2">
        <v>5</v>
      </c>
      <c r="M748" s="2">
        <v>2</v>
      </c>
      <c r="N748" s="2">
        <v>2</v>
      </c>
      <c r="O748" t="s">
        <v>1080</v>
      </c>
      <c r="P748" s="24" t="str" cm="1">
        <f t="array" ref="P748">_xlfn.IFS(O748&lt;=6,"Detractors",AND(O748&gt;=7,O748&lt;=8),"Passives",AND(O748&gt;8,O748&lt;=10),"Promoters",O748="Not Available","NA")</f>
        <v>NA</v>
      </c>
    </row>
    <row r="749" spans="1:16" ht="14.25" customHeight="1" x14ac:dyDescent="0.3">
      <c r="A749" s="2" t="s">
        <v>775</v>
      </c>
      <c r="B749" s="2" t="s">
        <v>21</v>
      </c>
      <c r="C749" s="2" t="s">
        <v>22</v>
      </c>
      <c r="D749" s="3">
        <v>45954</v>
      </c>
      <c r="H749" s="23" t="str">
        <f t="shared" si="11"/>
        <v>Not Delivered</v>
      </c>
      <c r="I749" s="2" t="s">
        <v>23</v>
      </c>
      <c r="J749" s="2" t="s">
        <v>63</v>
      </c>
      <c r="L749">
        <v>0</v>
      </c>
      <c r="M749">
        <v>0</v>
      </c>
      <c r="N749">
        <v>0</v>
      </c>
      <c r="O749" t="s">
        <v>1080</v>
      </c>
      <c r="P749" s="24" t="str" cm="1">
        <f t="array" ref="P749">_xlfn.IFS(O749&lt;=6,"Detractors",AND(O749&gt;=7,O749&lt;=8),"Passives",AND(O749&gt;8,O749&lt;=10),"Promoters",O749="Not Available","NA")</f>
        <v>NA</v>
      </c>
    </row>
    <row r="750" spans="1:16" ht="14.25" customHeight="1" x14ac:dyDescent="0.3">
      <c r="A750" s="2" t="s">
        <v>776</v>
      </c>
      <c r="B750" s="2" t="s">
        <v>21</v>
      </c>
      <c r="C750" s="2" t="s">
        <v>16</v>
      </c>
      <c r="D750" s="3">
        <v>45952</v>
      </c>
      <c r="E750" s="3">
        <v>45953</v>
      </c>
      <c r="F750" s="3">
        <v>45957</v>
      </c>
      <c r="G750" s="3">
        <v>45963</v>
      </c>
      <c r="H750" s="23" t="str">
        <f t="shared" si="11"/>
        <v>Delivered</v>
      </c>
      <c r="I750" s="2" t="s">
        <v>17</v>
      </c>
      <c r="J750" s="24" t="s">
        <v>1054</v>
      </c>
      <c r="K750" s="3">
        <v>45973</v>
      </c>
      <c r="L750" s="2">
        <v>1</v>
      </c>
      <c r="M750" s="2">
        <v>4</v>
      </c>
      <c r="N750" s="2">
        <v>6</v>
      </c>
      <c r="O750" s="36">
        <v>7</v>
      </c>
      <c r="P750" s="24" t="str" cm="1">
        <f t="array" ref="P750">_xlfn.IFS(O750&lt;=6,"Detractors",AND(O750&gt;=7,O750&lt;=8),"Passives",AND(O750&gt;8,O750&lt;=10),"Promoters",O750="Not Available","NA")</f>
        <v>Passives</v>
      </c>
    </row>
    <row r="751" spans="1:16" ht="14.25" customHeight="1" x14ac:dyDescent="0.3">
      <c r="A751" s="42" t="s">
        <v>777</v>
      </c>
      <c r="B751" s="2" t="s">
        <v>32</v>
      </c>
      <c r="C751" s="2" t="s">
        <v>30</v>
      </c>
      <c r="D751" s="3">
        <v>45943</v>
      </c>
      <c r="E751" s="3">
        <v>45944</v>
      </c>
      <c r="F751" s="3">
        <v>45946</v>
      </c>
      <c r="G751" s="3">
        <v>45949</v>
      </c>
      <c r="H751" s="23" t="str">
        <f t="shared" si="11"/>
        <v>Delivered</v>
      </c>
      <c r="I751" s="2" t="s">
        <v>17</v>
      </c>
      <c r="J751" s="24" t="s">
        <v>1054</v>
      </c>
      <c r="K751" s="3">
        <v>45959</v>
      </c>
      <c r="L751" s="2">
        <v>1</v>
      </c>
      <c r="M751" s="2">
        <v>2</v>
      </c>
      <c r="N751" s="2">
        <v>3</v>
      </c>
      <c r="O751" s="36">
        <v>0</v>
      </c>
      <c r="P751" s="24" t="str" cm="1">
        <f t="array" ref="P751">_xlfn.IFS(O751&lt;=6,"Detractors",AND(O751&gt;=7,O751&lt;=8),"Passives",AND(O751&gt;8,O751&lt;=10),"Promoters",O751="Not Available","NA")</f>
        <v>Detractors</v>
      </c>
    </row>
    <row r="752" spans="1:16" ht="14.25" customHeight="1" x14ac:dyDescent="0.3">
      <c r="A752" s="42" t="s">
        <v>778</v>
      </c>
      <c r="B752" s="2" t="s">
        <v>21</v>
      </c>
      <c r="C752" s="2" t="s">
        <v>30</v>
      </c>
      <c r="D752" s="3">
        <v>45961</v>
      </c>
      <c r="E752" s="3">
        <v>45964</v>
      </c>
      <c r="F752" s="3">
        <v>45968</v>
      </c>
      <c r="G752" s="3">
        <v>45975</v>
      </c>
      <c r="H752" s="23" t="str">
        <f t="shared" si="11"/>
        <v>Delivered</v>
      </c>
      <c r="I752" s="2" t="s">
        <v>17</v>
      </c>
      <c r="J752" s="24" t="s">
        <v>1054</v>
      </c>
      <c r="K752" s="3">
        <v>46005</v>
      </c>
      <c r="L752" s="2">
        <v>3</v>
      </c>
      <c r="M752" s="2">
        <v>4</v>
      </c>
      <c r="N752" s="2">
        <v>7</v>
      </c>
      <c r="O752" s="36">
        <v>7</v>
      </c>
      <c r="P752" s="24" t="str" cm="1">
        <f t="array" ref="P752">_xlfn.IFS(O752&lt;=6,"Detractors",AND(O752&gt;=7,O752&lt;=8),"Passives",AND(O752&gt;8,O752&lt;=10),"Promoters",O752="Not Available","NA")</f>
        <v>Passives</v>
      </c>
    </row>
    <row r="753" spans="1:16" ht="14.25" customHeight="1" x14ac:dyDescent="0.3">
      <c r="A753" s="42" t="s">
        <v>779</v>
      </c>
      <c r="B753" s="2" t="s">
        <v>21</v>
      </c>
      <c r="C753" s="2" t="s">
        <v>30</v>
      </c>
      <c r="D753" s="3">
        <v>45958</v>
      </c>
      <c r="E753" s="3">
        <v>45962</v>
      </c>
      <c r="F753" s="3">
        <v>45965</v>
      </c>
      <c r="G753" s="3">
        <v>45970</v>
      </c>
      <c r="H753" s="23" t="str">
        <f t="shared" si="11"/>
        <v>Delivered</v>
      </c>
      <c r="I753" s="2" t="s">
        <v>17</v>
      </c>
      <c r="J753" s="24" t="s">
        <v>1054</v>
      </c>
      <c r="K753" s="3">
        <v>45987</v>
      </c>
      <c r="L753" s="2">
        <v>4</v>
      </c>
      <c r="M753" s="2">
        <v>3</v>
      </c>
      <c r="N753" s="2">
        <v>5</v>
      </c>
      <c r="O753" s="36">
        <v>4</v>
      </c>
      <c r="P753" s="24" t="str" cm="1">
        <f t="array" ref="P753">_xlfn.IFS(O753&lt;=6,"Detractors",AND(O753&gt;=7,O753&lt;=8),"Passives",AND(O753&gt;8,O753&lt;=10),"Promoters",O753="Not Available","NA")</f>
        <v>Detractors</v>
      </c>
    </row>
    <row r="754" spans="1:16" ht="14.25" customHeight="1" x14ac:dyDescent="0.3">
      <c r="A754" s="2" t="s">
        <v>780</v>
      </c>
      <c r="B754" s="2" t="s">
        <v>21</v>
      </c>
      <c r="C754" s="2" t="s">
        <v>16</v>
      </c>
      <c r="D754" s="3">
        <v>45956</v>
      </c>
      <c r="E754" s="3">
        <v>45960</v>
      </c>
      <c r="F754" s="3">
        <v>45963</v>
      </c>
      <c r="G754" s="3">
        <v>45965</v>
      </c>
      <c r="H754" s="23" t="str">
        <f t="shared" si="11"/>
        <v>Delivered</v>
      </c>
      <c r="I754" s="2" t="s">
        <v>17</v>
      </c>
      <c r="J754" s="24" t="s">
        <v>1054</v>
      </c>
      <c r="K754" s="3">
        <v>45982</v>
      </c>
      <c r="L754" s="2">
        <v>4</v>
      </c>
      <c r="M754" s="2">
        <v>3</v>
      </c>
      <c r="N754" s="2">
        <v>2</v>
      </c>
      <c r="O754" s="36">
        <v>4</v>
      </c>
      <c r="P754" s="24" t="str" cm="1">
        <f t="array" ref="P754">_xlfn.IFS(O754&lt;=6,"Detractors",AND(O754&gt;=7,O754&lt;=8),"Passives",AND(O754&gt;8,O754&lt;=10),"Promoters",O754="Not Available","NA")</f>
        <v>Detractors</v>
      </c>
    </row>
    <row r="755" spans="1:16" ht="14.25" customHeight="1" x14ac:dyDescent="0.3">
      <c r="A755" s="42" t="s">
        <v>781</v>
      </c>
      <c r="B755" s="2" t="s">
        <v>15</v>
      </c>
      <c r="C755" s="2" t="s">
        <v>30</v>
      </c>
      <c r="D755" s="3">
        <v>45948</v>
      </c>
      <c r="E755" s="3">
        <v>45953</v>
      </c>
      <c r="F755" s="3">
        <v>45954</v>
      </c>
      <c r="G755" s="3">
        <v>45960</v>
      </c>
      <c r="H755" s="23" t="str">
        <f t="shared" si="11"/>
        <v>Delivered</v>
      </c>
      <c r="I755" s="2" t="s">
        <v>17</v>
      </c>
      <c r="J755" s="24" t="s">
        <v>1054</v>
      </c>
      <c r="K755" s="3">
        <v>45981</v>
      </c>
      <c r="L755" s="2">
        <v>5</v>
      </c>
      <c r="M755" s="2">
        <v>1</v>
      </c>
      <c r="N755" s="2">
        <v>6</v>
      </c>
      <c r="O755" s="36">
        <v>9</v>
      </c>
      <c r="P755" s="24" t="str" cm="1">
        <f t="array" ref="P755">_xlfn.IFS(O755&lt;=6,"Detractors",AND(O755&gt;=7,O755&lt;=8),"Passives",AND(O755&gt;8,O755&lt;=10),"Promoters",O755="Not Available","NA")</f>
        <v>Promoters</v>
      </c>
    </row>
    <row r="756" spans="1:16" ht="14.25" customHeight="1" x14ac:dyDescent="0.3">
      <c r="A756" s="2" t="s">
        <v>782</v>
      </c>
      <c r="B756" s="2" t="s">
        <v>32</v>
      </c>
      <c r="C756" s="2" t="s">
        <v>16</v>
      </c>
      <c r="D756" s="3">
        <v>45942</v>
      </c>
      <c r="E756" s="3">
        <v>45946</v>
      </c>
      <c r="F756" s="3">
        <v>45947</v>
      </c>
      <c r="G756" s="3">
        <v>45953</v>
      </c>
      <c r="H756" s="23" t="str">
        <f t="shared" si="11"/>
        <v>Delivered</v>
      </c>
      <c r="I756" s="2" t="s">
        <v>17</v>
      </c>
      <c r="J756" s="24" t="s">
        <v>1054</v>
      </c>
      <c r="K756" s="3">
        <v>45972</v>
      </c>
      <c r="L756" s="2">
        <v>4</v>
      </c>
      <c r="M756" s="2">
        <v>1</v>
      </c>
      <c r="N756" s="2">
        <v>6</v>
      </c>
      <c r="O756" s="36">
        <v>6</v>
      </c>
      <c r="P756" s="24" t="str" cm="1">
        <f t="array" ref="P756">_xlfn.IFS(O756&lt;=6,"Detractors",AND(O756&gt;=7,O756&lt;=8),"Passives",AND(O756&gt;8,O756&lt;=10),"Promoters",O756="Not Available","NA")</f>
        <v>Detractors</v>
      </c>
    </row>
    <row r="757" spans="1:16" ht="14.25" customHeight="1" x14ac:dyDescent="0.3">
      <c r="A757" s="2" t="s">
        <v>783</v>
      </c>
      <c r="B757" s="2" t="s">
        <v>19</v>
      </c>
      <c r="C757" s="2" t="s">
        <v>16</v>
      </c>
      <c r="D757" s="3">
        <v>45933</v>
      </c>
      <c r="E757" s="3">
        <v>45937</v>
      </c>
      <c r="F757" s="3">
        <v>45938</v>
      </c>
      <c r="G757" s="3">
        <v>45940</v>
      </c>
      <c r="H757" s="23" t="str">
        <f t="shared" si="11"/>
        <v>Delivered</v>
      </c>
      <c r="I757" s="2" t="s">
        <v>17</v>
      </c>
      <c r="J757" s="24" t="s">
        <v>1054</v>
      </c>
      <c r="K757" s="3">
        <v>45954</v>
      </c>
      <c r="L757" s="2">
        <v>4</v>
      </c>
      <c r="M757" s="2">
        <v>1</v>
      </c>
      <c r="N757" s="2">
        <v>2</v>
      </c>
      <c r="O757" s="36">
        <v>5</v>
      </c>
      <c r="P757" s="24" t="str" cm="1">
        <f t="array" ref="P757">_xlfn.IFS(O757&lt;=6,"Detractors",AND(O757&gt;=7,O757&lt;=8),"Passives",AND(O757&gt;8,O757&lt;=10),"Promoters",O757="Not Available","NA")</f>
        <v>Detractors</v>
      </c>
    </row>
    <row r="758" spans="1:16" ht="14.25" customHeight="1" x14ac:dyDescent="0.3">
      <c r="A758" s="42" t="s">
        <v>784</v>
      </c>
      <c r="B758" s="2" t="s">
        <v>15</v>
      </c>
      <c r="C758" s="2" t="s">
        <v>30</v>
      </c>
      <c r="D758" s="3">
        <v>45956</v>
      </c>
      <c r="E758" s="3">
        <v>45961</v>
      </c>
      <c r="F758" s="3">
        <v>45964</v>
      </c>
      <c r="G758" s="3">
        <v>45969</v>
      </c>
      <c r="H758" s="23" t="str">
        <f t="shared" si="11"/>
        <v>Delivered</v>
      </c>
      <c r="I758" s="2" t="s">
        <v>17</v>
      </c>
      <c r="J758" s="24" t="s">
        <v>1054</v>
      </c>
      <c r="K758" s="3">
        <v>45982</v>
      </c>
      <c r="L758" s="2">
        <v>5</v>
      </c>
      <c r="M758" s="2">
        <v>3</v>
      </c>
      <c r="N758" s="2">
        <v>5</v>
      </c>
      <c r="O758" s="36">
        <v>7</v>
      </c>
      <c r="P758" s="24" t="str" cm="1">
        <f t="array" ref="P758">_xlfn.IFS(O758&lt;=6,"Detractors",AND(O758&gt;=7,O758&lt;=8),"Passives",AND(O758&gt;8,O758&lt;=10),"Promoters",O758="Not Available","NA")</f>
        <v>Passives</v>
      </c>
    </row>
    <row r="759" spans="1:16" ht="14.25" customHeight="1" x14ac:dyDescent="0.3">
      <c r="A759" s="42" t="s">
        <v>785</v>
      </c>
      <c r="B759" s="2" t="s">
        <v>21</v>
      </c>
      <c r="C759" s="2" t="s">
        <v>30</v>
      </c>
      <c r="D759" s="3">
        <v>45943</v>
      </c>
      <c r="E759" s="3">
        <v>45944</v>
      </c>
      <c r="F759" s="3">
        <v>45948</v>
      </c>
      <c r="G759" s="3">
        <v>45955</v>
      </c>
      <c r="H759" s="23" t="str">
        <f t="shared" si="11"/>
        <v>Delivered</v>
      </c>
      <c r="I759" s="2" t="s">
        <v>17</v>
      </c>
      <c r="J759" s="24" t="s">
        <v>1054</v>
      </c>
      <c r="K759" s="3">
        <v>45977</v>
      </c>
      <c r="L759" s="2">
        <v>1</v>
      </c>
      <c r="M759" s="2">
        <v>4</v>
      </c>
      <c r="N759" s="2">
        <v>7</v>
      </c>
      <c r="O759" s="36">
        <v>6</v>
      </c>
      <c r="P759" s="24" t="str" cm="1">
        <f t="array" ref="P759">_xlfn.IFS(O759&lt;=6,"Detractors",AND(O759&gt;=7,O759&lt;=8),"Passives",AND(O759&gt;8,O759&lt;=10),"Promoters",O759="Not Available","NA")</f>
        <v>Detractors</v>
      </c>
    </row>
    <row r="760" spans="1:16" ht="14.25" customHeight="1" x14ac:dyDescent="0.3">
      <c r="A760" s="42" t="s">
        <v>786</v>
      </c>
      <c r="B760" s="2" t="s">
        <v>15</v>
      </c>
      <c r="C760" s="2" t="s">
        <v>30</v>
      </c>
      <c r="D760" s="3">
        <v>45931</v>
      </c>
      <c r="E760" s="3">
        <v>45933</v>
      </c>
      <c r="F760" s="3">
        <v>45936</v>
      </c>
      <c r="G760" s="3">
        <v>45939</v>
      </c>
      <c r="H760" s="23" t="str">
        <f t="shared" si="11"/>
        <v>Delivered</v>
      </c>
      <c r="I760" s="2" t="s">
        <v>17</v>
      </c>
      <c r="J760" s="24" t="s">
        <v>1054</v>
      </c>
      <c r="K760" s="3">
        <v>45965</v>
      </c>
      <c r="L760" s="2">
        <v>2</v>
      </c>
      <c r="M760" s="2">
        <v>3</v>
      </c>
      <c r="N760" s="2">
        <v>3</v>
      </c>
      <c r="O760" s="36">
        <v>6</v>
      </c>
      <c r="P760" s="24" t="str" cm="1">
        <f t="array" ref="P760">_xlfn.IFS(O760&lt;=6,"Detractors",AND(O760&gt;=7,O760&lt;=8),"Passives",AND(O760&gt;8,O760&lt;=10),"Promoters",O760="Not Available","NA")</f>
        <v>Detractors</v>
      </c>
    </row>
    <row r="761" spans="1:16" ht="14.25" customHeight="1" x14ac:dyDescent="0.3">
      <c r="A761" s="2" t="s">
        <v>787</v>
      </c>
      <c r="B761" s="2" t="s">
        <v>21</v>
      </c>
      <c r="C761" s="2" t="s">
        <v>22</v>
      </c>
      <c r="D761" s="3">
        <v>45939</v>
      </c>
      <c r="H761" s="23" t="str">
        <f t="shared" si="11"/>
        <v>Not Delivered</v>
      </c>
      <c r="I761" s="2" t="s">
        <v>23</v>
      </c>
      <c r="J761" s="2" t="s">
        <v>63</v>
      </c>
      <c r="L761">
        <v>0</v>
      </c>
      <c r="M761">
        <v>0</v>
      </c>
      <c r="N761">
        <v>0</v>
      </c>
      <c r="O761" t="s">
        <v>1080</v>
      </c>
      <c r="P761" s="24" t="str" cm="1">
        <f t="array" ref="P761">_xlfn.IFS(O761&lt;=6,"Detractors",AND(O761&gt;=7,O761&lt;=8),"Passives",AND(O761&gt;8,O761&lt;=10),"Promoters",O761="Not Available","NA")</f>
        <v>NA</v>
      </c>
    </row>
    <row r="762" spans="1:16" ht="14.25" customHeight="1" x14ac:dyDescent="0.3">
      <c r="A762" s="42" t="s">
        <v>788</v>
      </c>
      <c r="B762" s="2" t="s">
        <v>21</v>
      </c>
      <c r="C762" s="2" t="s">
        <v>30</v>
      </c>
      <c r="D762" s="3">
        <v>45948</v>
      </c>
      <c r="E762" s="3">
        <v>45951</v>
      </c>
      <c r="F762" s="3">
        <v>45954</v>
      </c>
      <c r="G762" s="3">
        <v>45957</v>
      </c>
      <c r="H762" s="23" t="str">
        <f t="shared" si="11"/>
        <v>Delivered</v>
      </c>
      <c r="I762" s="2" t="s">
        <v>17</v>
      </c>
      <c r="J762" s="24" t="s">
        <v>1054</v>
      </c>
      <c r="K762" s="3">
        <v>45985</v>
      </c>
      <c r="L762" s="2">
        <v>3</v>
      </c>
      <c r="M762" s="2">
        <v>3</v>
      </c>
      <c r="N762" s="2">
        <v>3</v>
      </c>
      <c r="O762" s="36">
        <v>2</v>
      </c>
      <c r="P762" s="24" t="str" cm="1">
        <f t="array" ref="P762">_xlfn.IFS(O762&lt;=6,"Detractors",AND(O762&gt;=7,O762&lt;=8),"Passives",AND(O762&gt;8,O762&lt;=10),"Promoters",O762="Not Available","NA")</f>
        <v>Detractors</v>
      </c>
    </row>
    <row r="763" spans="1:16" ht="14.25" customHeight="1" x14ac:dyDescent="0.3">
      <c r="A763" s="2" t="s">
        <v>789</v>
      </c>
      <c r="B763" s="2" t="s">
        <v>15</v>
      </c>
      <c r="C763" s="2" t="s">
        <v>16</v>
      </c>
      <c r="D763" s="3">
        <v>45934</v>
      </c>
      <c r="E763" s="3">
        <v>45935</v>
      </c>
      <c r="F763" s="3">
        <v>45936</v>
      </c>
      <c r="G763" s="3">
        <v>45940</v>
      </c>
      <c r="H763" s="23" t="str">
        <f t="shared" si="11"/>
        <v>Delivered</v>
      </c>
      <c r="I763" s="2" t="s">
        <v>17</v>
      </c>
      <c r="J763" s="24" t="s">
        <v>1054</v>
      </c>
      <c r="K763" s="3">
        <v>45959</v>
      </c>
      <c r="L763" s="2">
        <v>1</v>
      </c>
      <c r="M763" s="2">
        <v>1</v>
      </c>
      <c r="N763" s="2">
        <v>4</v>
      </c>
      <c r="O763" s="36">
        <v>8</v>
      </c>
      <c r="P763" s="24" t="str" cm="1">
        <f t="array" ref="P763">_xlfn.IFS(O763&lt;=6,"Detractors",AND(O763&gt;=7,O763&lt;=8),"Passives",AND(O763&gt;8,O763&lt;=10),"Promoters",O763="Not Available","NA")</f>
        <v>Passives</v>
      </c>
    </row>
    <row r="764" spans="1:16" ht="14.25" customHeight="1" x14ac:dyDescent="0.3">
      <c r="A764" s="2" t="s">
        <v>790</v>
      </c>
      <c r="B764" s="2" t="s">
        <v>32</v>
      </c>
      <c r="C764" s="2" t="s">
        <v>22</v>
      </c>
      <c r="D764" s="3">
        <v>45945</v>
      </c>
      <c r="H764" s="23" t="str">
        <f t="shared" si="11"/>
        <v>Not Delivered</v>
      </c>
      <c r="I764" s="2" t="s">
        <v>23</v>
      </c>
      <c r="J764" s="2" t="s">
        <v>33</v>
      </c>
      <c r="L764">
        <v>0</v>
      </c>
      <c r="M764">
        <v>0</v>
      </c>
      <c r="N764">
        <v>0</v>
      </c>
      <c r="O764" t="s">
        <v>1080</v>
      </c>
      <c r="P764" s="24" t="str" cm="1">
        <f t="array" ref="P764">_xlfn.IFS(O764&lt;=6,"Detractors",AND(O764&gt;=7,O764&lt;=8),"Passives",AND(O764&gt;8,O764&lt;=10),"Promoters",O764="Not Available","NA")</f>
        <v>NA</v>
      </c>
    </row>
    <row r="765" spans="1:16" ht="14.25" customHeight="1" x14ac:dyDescent="0.3">
      <c r="A765" s="2" t="s">
        <v>791</v>
      </c>
      <c r="B765" s="2" t="s">
        <v>21</v>
      </c>
      <c r="C765" s="2" t="s">
        <v>16</v>
      </c>
      <c r="D765" s="3">
        <v>45942</v>
      </c>
      <c r="E765" s="3">
        <v>45946</v>
      </c>
      <c r="F765" s="3">
        <v>45948</v>
      </c>
      <c r="G765" s="3">
        <v>45952</v>
      </c>
      <c r="H765" s="23" t="str">
        <f t="shared" si="11"/>
        <v>Delivered</v>
      </c>
      <c r="I765" s="2" t="s">
        <v>23</v>
      </c>
      <c r="J765" s="2" t="s">
        <v>63</v>
      </c>
      <c r="L765" s="2">
        <v>4</v>
      </c>
      <c r="M765" s="2">
        <v>2</v>
      </c>
      <c r="N765" s="2">
        <v>4</v>
      </c>
      <c r="O765" t="s">
        <v>1080</v>
      </c>
      <c r="P765" s="24" t="str" cm="1">
        <f t="array" ref="P765">_xlfn.IFS(O765&lt;=6,"Detractors",AND(O765&gt;=7,O765&lt;=8),"Passives",AND(O765&gt;8,O765&lt;=10),"Promoters",O765="Not Available","NA")</f>
        <v>NA</v>
      </c>
    </row>
    <row r="766" spans="1:16" ht="14.25" customHeight="1" x14ac:dyDescent="0.3">
      <c r="A766" s="2" t="s">
        <v>792</v>
      </c>
      <c r="B766" s="2" t="s">
        <v>32</v>
      </c>
      <c r="C766" s="2" t="s">
        <v>22</v>
      </c>
      <c r="D766" s="3">
        <v>45952</v>
      </c>
      <c r="H766" s="23" t="str">
        <f t="shared" si="11"/>
        <v>Not Delivered</v>
      </c>
      <c r="I766" s="2" t="s">
        <v>23</v>
      </c>
      <c r="J766" s="2" t="s">
        <v>26</v>
      </c>
      <c r="L766">
        <v>0</v>
      </c>
      <c r="M766">
        <v>0</v>
      </c>
      <c r="N766">
        <v>0</v>
      </c>
      <c r="O766" t="s">
        <v>1080</v>
      </c>
      <c r="P766" s="24" t="str" cm="1">
        <f t="array" ref="P766">_xlfn.IFS(O766&lt;=6,"Detractors",AND(O766&gt;=7,O766&lt;=8),"Passives",AND(O766&gt;8,O766&lt;=10),"Promoters",O766="Not Available","NA")</f>
        <v>NA</v>
      </c>
    </row>
    <row r="767" spans="1:16" ht="14.25" customHeight="1" x14ac:dyDescent="0.3">
      <c r="A767" s="2" t="s">
        <v>793</v>
      </c>
      <c r="B767" s="2" t="s">
        <v>19</v>
      </c>
      <c r="C767" s="2" t="s">
        <v>16</v>
      </c>
      <c r="D767" s="3">
        <v>45954</v>
      </c>
      <c r="E767" s="3">
        <v>45958</v>
      </c>
      <c r="F767" s="3">
        <v>45959</v>
      </c>
      <c r="G767" s="3">
        <v>45963</v>
      </c>
      <c r="H767" s="23" t="str">
        <f t="shared" si="11"/>
        <v>Delivered</v>
      </c>
      <c r="I767" s="2" t="s">
        <v>17</v>
      </c>
      <c r="J767" s="24" t="s">
        <v>1054</v>
      </c>
      <c r="K767" s="3">
        <v>45978</v>
      </c>
      <c r="L767" s="2">
        <v>4</v>
      </c>
      <c r="M767" s="2">
        <v>1</v>
      </c>
      <c r="N767" s="2">
        <v>4</v>
      </c>
      <c r="O767" s="36">
        <v>1</v>
      </c>
      <c r="P767" s="24" t="str" cm="1">
        <f t="array" ref="P767">_xlfn.IFS(O767&lt;=6,"Detractors",AND(O767&gt;=7,O767&lt;=8),"Passives",AND(O767&gt;8,O767&lt;=10),"Promoters",O767="Not Available","NA")</f>
        <v>Detractors</v>
      </c>
    </row>
    <row r="768" spans="1:16" ht="14.25" customHeight="1" x14ac:dyDescent="0.3">
      <c r="A768" s="2" t="s">
        <v>794</v>
      </c>
      <c r="B768" s="2" t="s">
        <v>21</v>
      </c>
      <c r="C768" s="2" t="s">
        <v>22</v>
      </c>
      <c r="D768" s="3">
        <v>45952</v>
      </c>
      <c r="H768" s="23" t="str">
        <f t="shared" si="11"/>
        <v>Not Delivered</v>
      </c>
      <c r="I768" s="2" t="s">
        <v>23</v>
      </c>
      <c r="J768" s="2" t="s">
        <v>101</v>
      </c>
      <c r="L768">
        <v>0</v>
      </c>
      <c r="M768">
        <v>0</v>
      </c>
      <c r="N768">
        <v>0</v>
      </c>
      <c r="O768" s="36" t="s">
        <v>1080</v>
      </c>
      <c r="P768" s="24" t="str" cm="1">
        <f t="array" ref="P768">_xlfn.IFS(O768&lt;=6,"Detractors",AND(O768&gt;=7,O768&lt;=8),"Passives",AND(O768&gt;8,O768&lt;=10),"Promoters",O768="Not Available","NA")</f>
        <v>NA</v>
      </c>
    </row>
    <row r="769" spans="1:16" ht="14.25" customHeight="1" x14ac:dyDescent="0.3">
      <c r="A769" s="42" t="s">
        <v>795</v>
      </c>
      <c r="B769" s="2" t="s">
        <v>32</v>
      </c>
      <c r="C769" s="2" t="s">
        <v>30</v>
      </c>
      <c r="D769" s="3">
        <v>45939</v>
      </c>
      <c r="E769" s="3">
        <v>45944</v>
      </c>
      <c r="F769" s="3">
        <v>45946</v>
      </c>
      <c r="G769" s="3">
        <v>45951</v>
      </c>
      <c r="H769" s="23" t="str">
        <f t="shared" si="11"/>
        <v>Delivered</v>
      </c>
      <c r="I769" s="2" t="s">
        <v>17</v>
      </c>
      <c r="J769" s="24" t="s">
        <v>1054</v>
      </c>
      <c r="K769" s="3">
        <v>45963</v>
      </c>
      <c r="L769" s="2">
        <v>5</v>
      </c>
      <c r="M769" s="2">
        <v>2</v>
      </c>
      <c r="N769" s="2">
        <v>5</v>
      </c>
      <c r="O769" s="36">
        <v>0</v>
      </c>
      <c r="P769" s="24" t="str" cm="1">
        <f t="array" ref="P769">_xlfn.IFS(O769&lt;=6,"Detractors",AND(O769&gt;=7,O769&lt;=8),"Passives",AND(O769&gt;8,O769&lt;=10),"Promoters",O769="Not Available","NA")</f>
        <v>Detractors</v>
      </c>
    </row>
    <row r="770" spans="1:16" ht="14.25" customHeight="1" x14ac:dyDescent="0.3">
      <c r="A770" s="42" t="s">
        <v>796</v>
      </c>
      <c r="B770" s="2" t="s">
        <v>32</v>
      </c>
      <c r="C770" s="2" t="s">
        <v>30</v>
      </c>
      <c r="D770" s="3">
        <v>45949</v>
      </c>
      <c r="E770" s="3">
        <v>45952</v>
      </c>
      <c r="F770" s="3">
        <v>45956</v>
      </c>
      <c r="G770" s="3">
        <v>45963</v>
      </c>
      <c r="H770" s="23" t="str">
        <f t="shared" si="11"/>
        <v>Delivered</v>
      </c>
      <c r="I770" s="2" t="s">
        <v>17</v>
      </c>
      <c r="J770" s="24" t="s">
        <v>1054</v>
      </c>
      <c r="K770" s="3">
        <v>45974</v>
      </c>
      <c r="L770" s="2">
        <v>3</v>
      </c>
      <c r="M770" s="2">
        <v>4</v>
      </c>
      <c r="N770" s="2">
        <v>7</v>
      </c>
      <c r="O770" s="36">
        <v>4</v>
      </c>
      <c r="P770" s="24" t="str" cm="1">
        <f t="array" ref="P770">_xlfn.IFS(O770&lt;=6,"Detractors",AND(O770&gt;=7,O770&lt;=8),"Passives",AND(O770&gt;8,O770&lt;=10),"Promoters",O770="Not Available","NA")</f>
        <v>Detractors</v>
      </c>
    </row>
    <row r="771" spans="1:16" ht="14.25" customHeight="1" x14ac:dyDescent="0.3">
      <c r="A771" s="2" t="s">
        <v>797</v>
      </c>
      <c r="B771" s="2" t="s">
        <v>19</v>
      </c>
      <c r="C771" s="2" t="s">
        <v>16</v>
      </c>
      <c r="D771" s="3">
        <v>45943</v>
      </c>
      <c r="E771" s="3">
        <v>45945</v>
      </c>
      <c r="F771" s="3">
        <v>45949</v>
      </c>
      <c r="G771" s="3">
        <v>45956</v>
      </c>
      <c r="H771" s="23" t="str">
        <f t="shared" ref="H771:H834" si="12">IF(G771="", "Not Delivered", "Delivered")</f>
        <v>Delivered</v>
      </c>
      <c r="I771" s="2" t="s">
        <v>17</v>
      </c>
      <c r="J771" s="24" t="s">
        <v>1054</v>
      </c>
      <c r="K771" s="3">
        <v>45975</v>
      </c>
      <c r="L771" s="2">
        <v>2</v>
      </c>
      <c r="M771" s="2">
        <v>4</v>
      </c>
      <c r="N771" s="2">
        <v>7</v>
      </c>
      <c r="O771" s="36">
        <v>0</v>
      </c>
      <c r="P771" s="24" t="str" cm="1">
        <f t="array" ref="P771">_xlfn.IFS(O771&lt;=6,"Detractors",AND(O771&gt;=7,O771&lt;=8),"Passives",AND(O771&gt;8,O771&lt;=10),"Promoters",O771="Not Available","NA")</f>
        <v>Detractors</v>
      </c>
    </row>
    <row r="772" spans="1:16" ht="14.25" customHeight="1" x14ac:dyDescent="0.3">
      <c r="A772" s="2" t="s">
        <v>798</v>
      </c>
      <c r="B772" s="2" t="s">
        <v>32</v>
      </c>
      <c r="C772" s="2" t="s">
        <v>22</v>
      </c>
      <c r="D772" s="3">
        <v>45957</v>
      </c>
      <c r="H772" s="23" t="str">
        <f t="shared" si="12"/>
        <v>Not Delivered</v>
      </c>
      <c r="I772" s="2" t="s">
        <v>23</v>
      </c>
      <c r="J772" s="2" t="s">
        <v>26</v>
      </c>
      <c r="L772">
        <v>0</v>
      </c>
      <c r="M772">
        <v>0</v>
      </c>
      <c r="N772">
        <v>0</v>
      </c>
      <c r="O772" t="s">
        <v>1080</v>
      </c>
      <c r="P772" s="24" t="str" cm="1">
        <f t="array" ref="P772">_xlfn.IFS(O772&lt;=6,"Detractors",AND(O772&gt;=7,O772&lt;=8),"Passives",AND(O772&gt;8,O772&lt;=10),"Promoters",O772="Not Available","NA")</f>
        <v>NA</v>
      </c>
    </row>
    <row r="773" spans="1:16" ht="14.25" customHeight="1" x14ac:dyDescent="0.3">
      <c r="A773" s="2" t="s">
        <v>799</v>
      </c>
      <c r="B773" s="2" t="s">
        <v>32</v>
      </c>
      <c r="C773" s="2" t="s">
        <v>22</v>
      </c>
      <c r="D773" s="3">
        <v>45951</v>
      </c>
      <c r="H773" s="23" t="str">
        <f t="shared" si="12"/>
        <v>Not Delivered</v>
      </c>
      <c r="I773" s="2" t="s">
        <v>23</v>
      </c>
      <c r="J773" s="2" t="s">
        <v>24</v>
      </c>
      <c r="L773">
        <v>0</v>
      </c>
      <c r="M773">
        <v>0</v>
      </c>
      <c r="N773">
        <v>0</v>
      </c>
      <c r="O773" t="s">
        <v>1080</v>
      </c>
      <c r="P773" s="24" t="str" cm="1">
        <f t="array" ref="P773">_xlfn.IFS(O773&lt;=6,"Detractors",AND(O773&gt;=7,O773&lt;=8),"Passives",AND(O773&gt;8,O773&lt;=10),"Promoters",O773="Not Available","NA")</f>
        <v>NA</v>
      </c>
    </row>
    <row r="774" spans="1:16" ht="14.25" customHeight="1" x14ac:dyDescent="0.3">
      <c r="A774" s="42" t="s">
        <v>800</v>
      </c>
      <c r="B774" s="2" t="s">
        <v>19</v>
      </c>
      <c r="C774" s="2" t="s">
        <v>30</v>
      </c>
      <c r="D774" s="3">
        <v>45961</v>
      </c>
      <c r="E774" s="3">
        <v>45966</v>
      </c>
      <c r="F774" s="3">
        <v>45971</v>
      </c>
      <c r="G774" s="3">
        <v>45975</v>
      </c>
      <c r="H774" s="23" t="str">
        <f t="shared" si="12"/>
        <v>Delivered</v>
      </c>
      <c r="I774" s="2" t="s">
        <v>17</v>
      </c>
      <c r="J774" s="24" t="s">
        <v>1054</v>
      </c>
      <c r="K774" s="3">
        <v>45994</v>
      </c>
      <c r="L774" s="2">
        <v>5</v>
      </c>
      <c r="M774" s="2">
        <v>5</v>
      </c>
      <c r="N774" s="2">
        <v>4</v>
      </c>
      <c r="O774" s="36">
        <v>4</v>
      </c>
      <c r="P774" s="24" t="str" cm="1">
        <f t="array" ref="P774">_xlfn.IFS(O774&lt;=6,"Detractors",AND(O774&gt;=7,O774&lt;=8),"Passives",AND(O774&gt;8,O774&lt;=10),"Promoters",O774="Not Available","NA")</f>
        <v>Detractors</v>
      </c>
    </row>
    <row r="775" spans="1:16" ht="14.25" customHeight="1" x14ac:dyDescent="0.3">
      <c r="A775" s="42" t="s">
        <v>801</v>
      </c>
      <c r="B775" s="2" t="s">
        <v>21</v>
      </c>
      <c r="C775" s="2" t="s">
        <v>30</v>
      </c>
      <c r="D775" s="3">
        <v>45942</v>
      </c>
      <c r="E775" s="3">
        <v>45947</v>
      </c>
      <c r="F775" s="3">
        <v>45952</v>
      </c>
      <c r="G775" s="3">
        <v>45956</v>
      </c>
      <c r="H775" s="23" t="str">
        <f t="shared" si="12"/>
        <v>Delivered</v>
      </c>
      <c r="I775" s="2" t="s">
        <v>17</v>
      </c>
      <c r="J775" s="24" t="s">
        <v>1054</v>
      </c>
      <c r="K775" s="3">
        <v>45980</v>
      </c>
      <c r="L775" s="2">
        <v>5</v>
      </c>
      <c r="M775" s="2">
        <v>5</v>
      </c>
      <c r="N775" s="2">
        <v>4</v>
      </c>
      <c r="O775" s="36">
        <v>1</v>
      </c>
      <c r="P775" s="24" t="str" cm="1">
        <f t="array" ref="P775">_xlfn.IFS(O775&lt;=6,"Detractors",AND(O775&gt;=7,O775&lt;=8),"Passives",AND(O775&gt;8,O775&lt;=10),"Promoters",O775="Not Available","NA")</f>
        <v>Detractors</v>
      </c>
    </row>
    <row r="776" spans="1:16" ht="14.25" customHeight="1" x14ac:dyDescent="0.3">
      <c r="A776" s="2" t="s">
        <v>802</v>
      </c>
      <c r="B776" s="2" t="s">
        <v>32</v>
      </c>
      <c r="C776" s="2" t="s">
        <v>22</v>
      </c>
      <c r="D776" s="3">
        <v>45934</v>
      </c>
      <c r="H776" s="23" t="str">
        <f t="shared" si="12"/>
        <v>Not Delivered</v>
      </c>
      <c r="I776" s="2" t="s">
        <v>23</v>
      </c>
      <c r="J776" s="2" t="s">
        <v>33</v>
      </c>
      <c r="L776">
        <v>0</v>
      </c>
      <c r="M776">
        <v>0</v>
      </c>
      <c r="N776">
        <v>0</v>
      </c>
      <c r="O776" t="s">
        <v>1080</v>
      </c>
      <c r="P776" s="24" t="str" cm="1">
        <f t="array" ref="P776">_xlfn.IFS(O776&lt;=6,"Detractors",AND(O776&gt;=7,O776&lt;=8),"Passives",AND(O776&gt;8,O776&lt;=10),"Promoters",O776="Not Available","NA")</f>
        <v>NA</v>
      </c>
    </row>
    <row r="777" spans="1:16" ht="14.25" customHeight="1" x14ac:dyDescent="0.3">
      <c r="A777" s="42" t="s">
        <v>803</v>
      </c>
      <c r="B777" s="2" t="s">
        <v>32</v>
      </c>
      <c r="C777" s="2" t="s">
        <v>30</v>
      </c>
      <c r="D777" s="3">
        <v>45952</v>
      </c>
      <c r="E777" s="3">
        <v>45954</v>
      </c>
      <c r="F777" s="3">
        <v>45959</v>
      </c>
      <c r="G777" s="3">
        <v>45964</v>
      </c>
      <c r="H777" s="23" t="str">
        <f t="shared" si="12"/>
        <v>Delivered</v>
      </c>
      <c r="I777" s="2" t="s">
        <v>17</v>
      </c>
      <c r="J777" s="24" t="s">
        <v>1054</v>
      </c>
      <c r="K777" s="3">
        <v>45990</v>
      </c>
      <c r="L777" s="2">
        <v>2</v>
      </c>
      <c r="M777" s="2">
        <v>5</v>
      </c>
      <c r="N777" s="2">
        <v>5</v>
      </c>
      <c r="O777" s="36">
        <v>10</v>
      </c>
      <c r="P777" s="24" t="str" cm="1">
        <f t="array" ref="P777">_xlfn.IFS(O777&lt;=6,"Detractors",AND(O777&gt;=7,O777&lt;=8),"Passives",AND(O777&gt;8,O777&lt;=10),"Promoters",O777="Not Available","NA")</f>
        <v>Promoters</v>
      </c>
    </row>
    <row r="778" spans="1:16" ht="14.25" customHeight="1" x14ac:dyDescent="0.3">
      <c r="A778" s="2" t="s">
        <v>804</v>
      </c>
      <c r="B778" s="2" t="s">
        <v>32</v>
      </c>
      <c r="C778" s="2" t="s">
        <v>16</v>
      </c>
      <c r="D778" s="3">
        <v>45938</v>
      </c>
      <c r="E778" s="3">
        <v>45940</v>
      </c>
      <c r="F778" s="3">
        <v>45944</v>
      </c>
      <c r="G778" s="3">
        <v>45948</v>
      </c>
      <c r="H778" s="23" t="str">
        <f t="shared" si="12"/>
        <v>Delivered</v>
      </c>
      <c r="I778" s="2" t="s">
        <v>17</v>
      </c>
      <c r="J778" s="24" t="s">
        <v>1054</v>
      </c>
      <c r="K778" s="3">
        <v>45977</v>
      </c>
      <c r="L778" s="2">
        <v>2</v>
      </c>
      <c r="M778" s="2">
        <v>4</v>
      </c>
      <c r="N778" s="2">
        <v>4</v>
      </c>
      <c r="O778" s="36">
        <v>1</v>
      </c>
      <c r="P778" s="24" t="str" cm="1">
        <f t="array" ref="P778">_xlfn.IFS(O778&lt;=6,"Detractors",AND(O778&gt;=7,O778&lt;=8),"Passives",AND(O778&gt;8,O778&lt;=10),"Promoters",O778="Not Available","NA")</f>
        <v>Detractors</v>
      </c>
    </row>
    <row r="779" spans="1:16" ht="14.25" customHeight="1" x14ac:dyDescent="0.3">
      <c r="A779" s="2" t="s">
        <v>805</v>
      </c>
      <c r="B779" s="2" t="s">
        <v>15</v>
      </c>
      <c r="C779" s="2" t="s">
        <v>22</v>
      </c>
      <c r="D779" s="3">
        <v>45946</v>
      </c>
      <c r="H779" s="23" t="str">
        <f t="shared" si="12"/>
        <v>Not Delivered</v>
      </c>
      <c r="I779" s="2" t="s">
        <v>23</v>
      </c>
      <c r="J779" s="2" t="s">
        <v>63</v>
      </c>
      <c r="L779">
        <v>0</v>
      </c>
      <c r="M779">
        <v>0</v>
      </c>
      <c r="N779">
        <v>0</v>
      </c>
      <c r="O779" t="s">
        <v>1080</v>
      </c>
      <c r="P779" s="24" t="str" cm="1">
        <f t="array" ref="P779">_xlfn.IFS(O779&lt;=6,"Detractors",AND(O779&gt;=7,O779&lt;=8),"Passives",AND(O779&gt;8,O779&lt;=10),"Promoters",O779="Not Available","NA")</f>
        <v>NA</v>
      </c>
    </row>
    <row r="780" spans="1:16" ht="14.25" customHeight="1" x14ac:dyDescent="0.3">
      <c r="A780" s="2" t="s">
        <v>806</v>
      </c>
      <c r="B780" s="2" t="s">
        <v>19</v>
      </c>
      <c r="C780" s="2" t="s">
        <v>16</v>
      </c>
      <c r="D780" s="3">
        <v>45931</v>
      </c>
      <c r="E780" s="3">
        <v>45935</v>
      </c>
      <c r="F780" s="3">
        <v>45936</v>
      </c>
      <c r="G780" s="3">
        <v>45939</v>
      </c>
      <c r="H780" s="23" t="str">
        <f t="shared" si="12"/>
        <v>Delivered</v>
      </c>
      <c r="I780" s="2" t="s">
        <v>17</v>
      </c>
      <c r="J780" s="24" t="s">
        <v>1054</v>
      </c>
      <c r="K780" s="3">
        <v>45965</v>
      </c>
      <c r="L780" s="2">
        <v>4</v>
      </c>
      <c r="M780" s="2">
        <v>1</v>
      </c>
      <c r="N780" s="2">
        <v>3</v>
      </c>
      <c r="O780" s="36">
        <v>3</v>
      </c>
      <c r="P780" s="24" t="str" cm="1">
        <f t="array" ref="P780">_xlfn.IFS(O780&lt;=6,"Detractors",AND(O780&gt;=7,O780&lt;=8),"Passives",AND(O780&gt;8,O780&lt;=10),"Promoters",O780="Not Available","NA")</f>
        <v>Detractors</v>
      </c>
    </row>
    <row r="781" spans="1:16" ht="14.25" customHeight="1" x14ac:dyDescent="0.3">
      <c r="A781" s="2" t="s">
        <v>807</v>
      </c>
      <c r="B781" s="2" t="s">
        <v>15</v>
      </c>
      <c r="C781" s="2" t="s">
        <v>16</v>
      </c>
      <c r="D781" s="3">
        <v>45950</v>
      </c>
      <c r="E781" s="3">
        <v>45955</v>
      </c>
      <c r="F781" s="3">
        <v>45956</v>
      </c>
      <c r="G781" s="3">
        <v>45958</v>
      </c>
      <c r="H781" s="23" t="str">
        <f t="shared" si="12"/>
        <v>Delivered</v>
      </c>
      <c r="I781" s="2" t="s">
        <v>17</v>
      </c>
      <c r="J781" s="24" t="s">
        <v>1054</v>
      </c>
      <c r="K781" s="3">
        <v>45978</v>
      </c>
      <c r="L781" s="2">
        <v>5</v>
      </c>
      <c r="M781" s="2">
        <v>1</v>
      </c>
      <c r="N781" s="2">
        <v>2</v>
      </c>
      <c r="O781" s="36">
        <v>2</v>
      </c>
      <c r="P781" s="24" t="str" cm="1">
        <f t="array" ref="P781">_xlfn.IFS(O781&lt;=6,"Detractors",AND(O781&gt;=7,O781&lt;=8),"Passives",AND(O781&gt;8,O781&lt;=10),"Promoters",O781="Not Available","NA")</f>
        <v>Detractors</v>
      </c>
    </row>
    <row r="782" spans="1:16" ht="14.25" customHeight="1" x14ac:dyDescent="0.3">
      <c r="A782" s="2" t="s">
        <v>808</v>
      </c>
      <c r="B782" s="2" t="s">
        <v>19</v>
      </c>
      <c r="C782" s="2" t="s">
        <v>16</v>
      </c>
      <c r="D782" s="3">
        <v>45959</v>
      </c>
      <c r="E782" s="3">
        <v>45960</v>
      </c>
      <c r="F782" s="3">
        <v>45961</v>
      </c>
      <c r="G782" s="3">
        <v>45964</v>
      </c>
      <c r="H782" s="23" t="str">
        <f t="shared" si="12"/>
        <v>Delivered</v>
      </c>
      <c r="I782" s="2" t="s">
        <v>17</v>
      </c>
      <c r="J782" s="24" t="s">
        <v>1054</v>
      </c>
      <c r="K782" s="3">
        <v>45987</v>
      </c>
      <c r="L782" s="2">
        <v>1</v>
      </c>
      <c r="M782" s="2">
        <v>1</v>
      </c>
      <c r="N782" s="2">
        <v>3</v>
      </c>
      <c r="O782" s="36">
        <v>2</v>
      </c>
      <c r="P782" s="24" t="str" cm="1">
        <f t="array" ref="P782">_xlfn.IFS(O782&lt;=6,"Detractors",AND(O782&gt;=7,O782&lt;=8),"Passives",AND(O782&gt;8,O782&lt;=10),"Promoters",O782="Not Available","NA")</f>
        <v>Detractors</v>
      </c>
    </row>
    <row r="783" spans="1:16" ht="14.25" customHeight="1" x14ac:dyDescent="0.3">
      <c r="A783" s="42" t="s">
        <v>809</v>
      </c>
      <c r="B783" s="2" t="s">
        <v>21</v>
      </c>
      <c r="C783" s="2" t="s">
        <v>30</v>
      </c>
      <c r="D783" s="3">
        <v>45961</v>
      </c>
      <c r="E783" s="3">
        <v>45962</v>
      </c>
      <c r="F783" s="3">
        <v>45965</v>
      </c>
      <c r="G783" s="3">
        <v>45968</v>
      </c>
      <c r="H783" s="23" t="str">
        <f t="shared" si="12"/>
        <v>Delivered</v>
      </c>
      <c r="I783" s="2" t="s">
        <v>17</v>
      </c>
      <c r="J783" s="24" t="s">
        <v>1054</v>
      </c>
      <c r="K783" s="3">
        <v>45982</v>
      </c>
      <c r="L783" s="2">
        <v>1</v>
      </c>
      <c r="M783" s="2">
        <v>3</v>
      </c>
      <c r="N783" s="2">
        <v>3</v>
      </c>
      <c r="O783" s="36">
        <v>4</v>
      </c>
      <c r="P783" s="24" t="str" cm="1">
        <f t="array" ref="P783">_xlfn.IFS(O783&lt;=6,"Detractors",AND(O783&gt;=7,O783&lt;=8),"Passives",AND(O783&gt;8,O783&lt;=10),"Promoters",O783="Not Available","NA")</f>
        <v>Detractors</v>
      </c>
    </row>
    <row r="784" spans="1:16" ht="14.25" customHeight="1" x14ac:dyDescent="0.3">
      <c r="A784" s="2" t="s">
        <v>810</v>
      </c>
      <c r="B784" s="2" t="s">
        <v>21</v>
      </c>
      <c r="C784" s="2" t="s">
        <v>22</v>
      </c>
      <c r="D784" s="3">
        <v>45948</v>
      </c>
      <c r="H784" s="23" t="str">
        <f t="shared" si="12"/>
        <v>Not Delivered</v>
      </c>
      <c r="I784" s="2" t="s">
        <v>23</v>
      </c>
      <c r="J784" s="2" t="s">
        <v>24</v>
      </c>
      <c r="L784">
        <v>0</v>
      </c>
      <c r="M784">
        <v>0</v>
      </c>
      <c r="N784">
        <v>0</v>
      </c>
      <c r="O784" t="s">
        <v>1080</v>
      </c>
      <c r="P784" s="24" t="str" cm="1">
        <f t="array" ref="P784">_xlfn.IFS(O784&lt;=6,"Detractors",AND(O784&gt;=7,O784&lt;=8),"Passives",AND(O784&gt;8,O784&lt;=10),"Promoters",O784="Not Available","NA")</f>
        <v>NA</v>
      </c>
    </row>
    <row r="785" spans="1:16" ht="14.25" customHeight="1" x14ac:dyDescent="0.3">
      <c r="A785" s="2" t="s">
        <v>811</v>
      </c>
      <c r="B785" s="2" t="s">
        <v>32</v>
      </c>
      <c r="C785" s="2" t="s">
        <v>16</v>
      </c>
      <c r="D785" s="3">
        <v>45941</v>
      </c>
      <c r="E785" s="3">
        <v>45946</v>
      </c>
      <c r="F785" s="3">
        <v>45951</v>
      </c>
      <c r="G785" s="3">
        <v>45957</v>
      </c>
      <c r="H785" s="23" t="str">
        <f t="shared" si="12"/>
        <v>Delivered</v>
      </c>
      <c r="I785" s="2" t="s">
        <v>17</v>
      </c>
      <c r="J785" s="24" t="s">
        <v>1054</v>
      </c>
      <c r="K785" s="3">
        <v>45977</v>
      </c>
      <c r="L785" s="2">
        <v>5</v>
      </c>
      <c r="M785" s="2">
        <v>5</v>
      </c>
      <c r="N785" s="2">
        <v>6</v>
      </c>
      <c r="O785" s="36">
        <v>9</v>
      </c>
      <c r="P785" s="24" t="str" cm="1">
        <f t="array" ref="P785">_xlfn.IFS(O785&lt;=6,"Detractors",AND(O785&gt;=7,O785&lt;=8),"Passives",AND(O785&gt;8,O785&lt;=10),"Promoters",O785="Not Available","NA")</f>
        <v>Promoters</v>
      </c>
    </row>
    <row r="786" spans="1:16" ht="14.25" customHeight="1" x14ac:dyDescent="0.3">
      <c r="A786" s="2" t="s">
        <v>812</v>
      </c>
      <c r="B786" s="2" t="s">
        <v>19</v>
      </c>
      <c r="C786" s="2" t="s">
        <v>22</v>
      </c>
      <c r="D786" s="3">
        <v>45960</v>
      </c>
      <c r="H786" s="23" t="str">
        <f t="shared" si="12"/>
        <v>Not Delivered</v>
      </c>
      <c r="I786" s="2" t="s">
        <v>23</v>
      </c>
      <c r="J786" s="2" t="s">
        <v>63</v>
      </c>
      <c r="L786">
        <v>0</v>
      </c>
      <c r="M786">
        <v>0</v>
      </c>
      <c r="N786">
        <v>0</v>
      </c>
      <c r="O786" t="s">
        <v>1080</v>
      </c>
      <c r="P786" s="24" t="str" cm="1">
        <f t="array" ref="P786">_xlfn.IFS(O786&lt;=6,"Detractors",AND(O786&gt;=7,O786&lt;=8),"Passives",AND(O786&gt;8,O786&lt;=10),"Promoters",O786="Not Available","NA")</f>
        <v>NA</v>
      </c>
    </row>
    <row r="787" spans="1:16" ht="14.25" customHeight="1" x14ac:dyDescent="0.3">
      <c r="A787" s="42" t="s">
        <v>813</v>
      </c>
      <c r="B787" s="2" t="s">
        <v>21</v>
      </c>
      <c r="C787" s="2" t="s">
        <v>30</v>
      </c>
      <c r="D787" s="3">
        <v>45950</v>
      </c>
      <c r="E787" s="3">
        <v>45952</v>
      </c>
      <c r="F787" s="3">
        <v>45953</v>
      </c>
      <c r="G787" s="3">
        <v>45955</v>
      </c>
      <c r="H787" s="23" t="str">
        <f t="shared" si="12"/>
        <v>Delivered</v>
      </c>
      <c r="I787" s="2" t="s">
        <v>17</v>
      </c>
      <c r="J787" s="24" t="s">
        <v>1054</v>
      </c>
      <c r="K787" s="3">
        <v>45980</v>
      </c>
      <c r="L787" s="2">
        <v>2</v>
      </c>
      <c r="M787" s="2">
        <v>1</v>
      </c>
      <c r="N787" s="2">
        <v>2</v>
      </c>
      <c r="O787" s="36">
        <v>7</v>
      </c>
      <c r="P787" s="24" t="str" cm="1">
        <f t="array" ref="P787">_xlfn.IFS(O787&lt;=6,"Detractors",AND(O787&gt;=7,O787&lt;=8),"Passives",AND(O787&gt;8,O787&lt;=10),"Promoters",O787="Not Available","NA")</f>
        <v>Passives</v>
      </c>
    </row>
    <row r="788" spans="1:16" ht="14.25" customHeight="1" x14ac:dyDescent="0.3">
      <c r="A788" s="2" t="s">
        <v>814</v>
      </c>
      <c r="B788" s="2" t="s">
        <v>19</v>
      </c>
      <c r="C788" s="2" t="s">
        <v>22</v>
      </c>
      <c r="D788" s="3">
        <v>45938</v>
      </c>
      <c r="H788" s="23" t="str">
        <f t="shared" si="12"/>
        <v>Not Delivered</v>
      </c>
      <c r="I788" s="2" t="s">
        <v>23</v>
      </c>
      <c r="J788" s="2" t="s">
        <v>101</v>
      </c>
      <c r="L788">
        <v>0</v>
      </c>
      <c r="M788">
        <v>0</v>
      </c>
      <c r="N788">
        <v>0</v>
      </c>
      <c r="O788" t="s">
        <v>1080</v>
      </c>
      <c r="P788" s="24" t="str" cm="1">
        <f t="array" ref="P788">_xlfn.IFS(O788&lt;=6,"Detractors",AND(O788&gt;=7,O788&lt;=8),"Passives",AND(O788&gt;8,O788&lt;=10),"Promoters",O788="Not Available","NA")</f>
        <v>NA</v>
      </c>
    </row>
    <row r="789" spans="1:16" ht="14.25" customHeight="1" x14ac:dyDescent="0.3">
      <c r="A789" s="2" t="s">
        <v>815</v>
      </c>
      <c r="B789" s="2" t="s">
        <v>21</v>
      </c>
      <c r="C789" s="2" t="s">
        <v>16</v>
      </c>
      <c r="D789" s="3">
        <v>45951</v>
      </c>
      <c r="E789" s="3">
        <v>45954</v>
      </c>
      <c r="F789" s="3">
        <v>45959</v>
      </c>
      <c r="G789" s="3">
        <v>45962</v>
      </c>
      <c r="H789" s="23" t="str">
        <f t="shared" si="12"/>
        <v>Delivered</v>
      </c>
      <c r="I789" s="2" t="s">
        <v>17</v>
      </c>
      <c r="J789" s="24" t="s">
        <v>1054</v>
      </c>
      <c r="K789" s="3">
        <v>45983</v>
      </c>
      <c r="L789" s="2">
        <v>3</v>
      </c>
      <c r="M789" s="2">
        <v>5</v>
      </c>
      <c r="N789" s="2">
        <v>3</v>
      </c>
      <c r="O789" s="36">
        <v>3</v>
      </c>
      <c r="P789" s="24" t="str" cm="1">
        <f t="array" ref="P789">_xlfn.IFS(O789&lt;=6,"Detractors",AND(O789&gt;=7,O789&lt;=8),"Passives",AND(O789&gt;8,O789&lt;=10),"Promoters",O789="Not Available","NA")</f>
        <v>Detractors</v>
      </c>
    </row>
    <row r="790" spans="1:16" ht="14.25" customHeight="1" x14ac:dyDescent="0.3">
      <c r="A790" s="42" t="s">
        <v>816</v>
      </c>
      <c r="B790" s="2" t="s">
        <v>15</v>
      </c>
      <c r="C790" s="2" t="s">
        <v>30</v>
      </c>
      <c r="D790" s="3">
        <v>45933</v>
      </c>
      <c r="E790" s="3">
        <v>45935</v>
      </c>
      <c r="F790" s="3">
        <v>45940</v>
      </c>
      <c r="G790" s="3">
        <v>45942</v>
      </c>
      <c r="H790" s="23" t="str">
        <f t="shared" si="12"/>
        <v>Delivered</v>
      </c>
      <c r="I790" s="2" t="s">
        <v>17</v>
      </c>
      <c r="J790" s="24" t="s">
        <v>1054</v>
      </c>
      <c r="K790" s="3">
        <v>45958</v>
      </c>
      <c r="L790" s="2">
        <v>2</v>
      </c>
      <c r="M790" s="2">
        <v>5</v>
      </c>
      <c r="N790" s="2">
        <v>2</v>
      </c>
      <c r="O790" s="36">
        <v>3</v>
      </c>
      <c r="P790" s="24" t="str" cm="1">
        <f t="array" ref="P790">_xlfn.IFS(O790&lt;=6,"Detractors",AND(O790&gt;=7,O790&lt;=8),"Passives",AND(O790&gt;8,O790&lt;=10),"Promoters",O790="Not Available","NA")</f>
        <v>Detractors</v>
      </c>
    </row>
    <row r="791" spans="1:16" ht="14.25" customHeight="1" x14ac:dyDescent="0.3">
      <c r="A791" s="42" t="s">
        <v>817</v>
      </c>
      <c r="B791" s="2" t="s">
        <v>21</v>
      </c>
      <c r="C791" s="2" t="s">
        <v>30</v>
      </c>
      <c r="D791" s="3">
        <v>45951</v>
      </c>
      <c r="E791" s="3">
        <v>45953</v>
      </c>
      <c r="F791" s="3">
        <v>45956</v>
      </c>
      <c r="G791" s="3">
        <v>45959</v>
      </c>
      <c r="H791" s="23" t="str">
        <f t="shared" si="12"/>
        <v>Delivered</v>
      </c>
      <c r="I791" s="2" t="s">
        <v>17</v>
      </c>
      <c r="J791" s="24" t="s">
        <v>1054</v>
      </c>
      <c r="K791" s="3">
        <v>45974</v>
      </c>
      <c r="L791" s="2">
        <v>2</v>
      </c>
      <c r="M791" s="2">
        <v>3</v>
      </c>
      <c r="N791" s="2">
        <v>3</v>
      </c>
      <c r="O791" s="36">
        <v>3</v>
      </c>
      <c r="P791" s="24" t="str" cm="1">
        <f t="array" ref="P791">_xlfn.IFS(O791&lt;=6,"Detractors",AND(O791&gt;=7,O791&lt;=8),"Passives",AND(O791&gt;8,O791&lt;=10),"Promoters",O791="Not Available","NA")</f>
        <v>Detractors</v>
      </c>
    </row>
    <row r="792" spans="1:16" ht="14.25" customHeight="1" x14ac:dyDescent="0.3">
      <c r="A792" s="2" t="s">
        <v>818</v>
      </c>
      <c r="B792" s="2" t="s">
        <v>15</v>
      </c>
      <c r="C792" s="2" t="s">
        <v>16</v>
      </c>
      <c r="D792" s="3">
        <v>45957</v>
      </c>
      <c r="E792" s="3">
        <v>45960</v>
      </c>
      <c r="F792" s="3">
        <v>45964</v>
      </c>
      <c r="G792" s="3">
        <v>45969</v>
      </c>
      <c r="H792" s="23" t="str">
        <f t="shared" si="12"/>
        <v>Delivered</v>
      </c>
      <c r="I792" s="2" t="s">
        <v>17</v>
      </c>
      <c r="J792" s="24" t="s">
        <v>1054</v>
      </c>
      <c r="K792" s="3">
        <v>45991</v>
      </c>
      <c r="L792" s="2">
        <v>3</v>
      </c>
      <c r="M792" s="2">
        <v>4</v>
      </c>
      <c r="N792" s="2">
        <v>5</v>
      </c>
      <c r="O792" s="36">
        <v>5</v>
      </c>
      <c r="P792" s="24" t="str" cm="1">
        <f t="array" ref="P792">_xlfn.IFS(O792&lt;=6,"Detractors",AND(O792&gt;=7,O792&lt;=8),"Passives",AND(O792&gt;8,O792&lt;=10),"Promoters",O792="Not Available","NA")</f>
        <v>Detractors</v>
      </c>
    </row>
    <row r="793" spans="1:16" ht="14.25" customHeight="1" x14ac:dyDescent="0.3">
      <c r="A793" s="2" t="s">
        <v>819</v>
      </c>
      <c r="B793" s="2" t="s">
        <v>21</v>
      </c>
      <c r="C793" s="2" t="s">
        <v>16</v>
      </c>
      <c r="D793" s="3">
        <v>45945</v>
      </c>
      <c r="E793" s="3">
        <v>45947</v>
      </c>
      <c r="F793" s="3">
        <v>45948</v>
      </c>
      <c r="G793" s="3">
        <v>45953</v>
      </c>
      <c r="H793" s="23" t="str">
        <f t="shared" si="12"/>
        <v>Delivered</v>
      </c>
      <c r="I793" s="2" t="s">
        <v>17</v>
      </c>
      <c r="J793" s="24" t="s">
        <v>1054</v>
      </c>
      <c r="K793" s="3">
        <v>45963</v>
      </c>
      <c r="L793" s="2">
        <v>2</v>
      </c>
      <c r="M793" s="2">
        <v>1</v>
      </c>
      <c r="N793" s="2">
        <v>5</v>
      </c>
      <c r="O793" s="36">
        <v>8</v>
      </c>
      <c r="P793" s="24" t="str" cm="1">
        <f t="array" ref="P793">_xlfn.IFS(O793&lt;=6,"Detractors",AND(O793&gt;=7,O793&lt;=8),"Passives",AND(O793&gt;8,O793&lt;=10),"Promoters",O793="Not Available","NA")</f>
        <v>Passives</v>
      </c>
    </row>
    <row r="794" spans="1:16" ht="14.25" customHeight="1" x14ac:dyDescent="0.3">
      <c r="A794" s="2" t="s">
        <v>820</v>
      </c>
      <c r="B794" s="2" t="s">
        <v>32</v>
      </c>
      <c r="C794" s="2" t="s">
        <v>22</v>
      </c>
      <c r="D794" s="3">
        <v>45960</v>
      </c>
      <c r="H794" s="23" t="str">
        <f t="shared" si="12"/>
        <v>Not Delivered</v>
      </c>
      <c r="I794" s="2" t="s">
        <v>23</v>
      </c>
      <c r="J794" s="2" t="s">
        <v>101</v>
      </c>
      <c r="L794">
        <v>0</v>
      </c>
      <c r="M794">
        <v>0</v>
      </c>
      <c r="N794">
        <v>0</v>
      </c>
      <c r="O794" t="s">
        <v>1080</v>
      </c>
      <c r="P794" s="24" t="str" cm="1">
        <f t="array" ref="P794">_xlfn.IFS(O794&lt;=6,"Detractors",AND(O794&gt;=7,O794&lt;=8),"Passives",AND(O794&gt;8,O794&lt;=10),"Promoters",O794="Not Available","NA")</f>
        <v>NA</v>
      </c>
    </row>
    <row r="795" spans="1:16" ht="14.25" customHeight="1" x14ac:dyDescent="0.3">
      <c r="A795" s="42" t="s">
        <v>821</v>
      </c>
      <c r="B795" s="2" t="s">
        <v>15</v>
      </c>
      <c r="C795" s="2" t="s">
        <v>30</v>
      </c>
      <c r="D795" s="3">
        <v>45953</v>
      </c>
      <c r="E795" s="3">
        <v>45956</v>
      </c>
      <c r="F795" s="3">
        <v>45959</v>
      </c>
      <c r="G795" s="3">
        <v>45963</v>
      </c>
      <c r="H795" s="23" t="str">
        <f t="shared" si="12"/>
        <v>Delivered</v>
      </c>
      <c r="I795" s="2" t="s">
        <v>17</v>
      </c>
      <c r="J795" s="24" t="s">
        <v>1054</v>
      </c>
      <c r="K795" s="3">
        <v>45980</v>
      </c>
      <c r="L795" s="2">
        <v>3</v>
      </c>
      <c r="M795" s="2">
        <v>3</v>
      </c>
      <c r="N795" s="2">
        <v>4</v>
      </c>
      <c r="O795" s="36">
        <v>1</v>
      </c>
      <c r="P795" s="24" t="str" cm="1">
        <f t="array" ref="P795">_xlfn.IFS(O795&lt;=6,"Detractors",AND(O795&gt;=7,O795&lt;=8),"Passives",AND(O795&gt;8,O795&lt;=10),"Promoters",O795="Not Available","NA")</f>
        <v>Detractors</v>
      </c>
    </row>
    <row r="796" spans="1:16" ht="14.25" customHeight="1" x14ac:dyDescent="0.3">
      <c r="A796" s="42" t="s">
        <v>822</v>
      </c>
      <c r="B796" s="2" t="s">
        <v>21</v>
      </c>
      <c r="C796" s="2" t="s">
        <v>30</v>
      </c>
      <c r="D796" s="3">
        <v>45940</v>
      </c>
      <c r="E796" s="3">
        <v>45945</v>
      </c>
      <c r="F796" s="3">
        <v>45949</v>
      </c>
      <c r="G796" s="3">
        <v>45954</v>
      </c>
      <c r="H796" s="23" t="str">
        <f t="shared" si="12"/>
        <v>Delivered</v>
      </c>
      <c r="I796" s="2" t="s">
        <v>17</v>
      </c>
      <c r="J796" s="24" t="s">
        <v>1054</v>
      </c>
      <c r="K796" s="3">
        <v>45971</v>
      </c>
      <c r="L796" s="2">
        <v>5</v>
      </c>
      <c r="M796" s="2">
        <v>4</v>
      </c>
      <c r="N796" s="2">
        <v>5</v>
      </c>
      <c r="O796" s="36">
        <v>10</v>
      </c>
      <c r="P796" s="24" t="str" cm="1">
        <f t="array" ref="P796">_xlfn.IFS(O796&lt;=6,"Detractors",AND(O796&gt;=7,O796&lt;=8),"Passives",AND(O796&gt;8,O796&lt;=10),"Promoters",O796="Not Available","NA")</f>
        <v>Promoters</v>
      </c>
    </row>
    <row r="797" spans="1:16" ht="14.25" customHeight="1" x14ac:dyDescent="0.3">
      <c r="A797" s="2" t="s">
        <v>823</v>
      </c>
      <c r="B797" s="2" t="s">
        <v>32</v>
      </c>
      <c r="C797" s="2" t="s">
        <v>16</v>
      </c>
      <c r="D797" s="3">
        <v>45951</v>
      </c>
      <c r="E797" s="3">
        <v>45954</v>
      </c>
      <c r="F797" s="3">
        <v>45958</v>
      </c>
      <c r="G797" s="3">
        <v>45960</v>
      </c>
      <c r="H797" s="23" t="str">
        <f t="shared" si="12"/>
        <v>Delivered</v>
      </c>
      <c r="I797" s="2" t="s">
        <v>17</v>
      </c>
      <c r="J797" s="24" t="s">
        <v>1054</v>
      </c>
      <c r="K797" s="3">
        <v>45974</v>
      </c>
      <c r="L797" s="2">
        <v>3</v>
      </c>
      <c r="M797" s="2">
        <v>4</v>
      </c>
      <c r="N797" s="2">
        <v>2</v>
      </c>
      <c r="O797" s="36">
        <v>4</v>
      </c>
      <c r="P797" s="24" t="str" cm="1">
        <f t="array" ref="P797">_xlfn.IFS(O797&lt;=6,"Detractors",AND(O797&gt;=7,O797&lt;=8),"Passives",AND(O797&gt;8,O797&lt;=10),"Promoters",O797="Not Available","NA")</f>
        <v>Detractors</v>
      </c>
    </row>
    <row r="798" spans="1:16" ht="14.25" customHeight="1" x14ac:dyDescent="0.3">
      <c r="A798" s="2" t="s">
        <v>824</v>
      </c>
      <c r="B798" s="2" t="s">
        <v>15</v>
      </c>
      <c r="C798" s="2" t="s">
        <v>16</v>
      </c>
      <c r="D798" s="3">
        <v>45944</v>
      </c>
      <c r="E798" s="3">
        <v>45945</v>
      </c>
      <c r="F798" s="3">
        <v>45946</v>
      </c>
      <c r="G798" s="3">
        <v>45952</v>
      </c>
      <c r="H798" s="23" t="str">
        <f t="shared" si="12"/>
        <v>Delivered</v>
      </c>
      <c r="I798" s="2" t="s">
        <v>17</v>
      </c>
      <c r="J798" s="24" t="s">
        <v>1054</v>
      </c>
      <c r="K798" s="3">
        <v>45968</v>
      </c>
      <c r="L798" s="2">
        <v>1</v>
      </c>
      <c r="M798" s="2">
        <v>1</v>
      </c>
      <c r="N798" s="2">
        <v>6</v>
      </c>
      <c r="O798" s="36">
        <v>8</v>
      </c>
      <c r="P798" s="24" t="str" cm="1">
        <f t="array" ref="P798">_xlfn.IFS(O798&lt;=6,"Detractors",AND(O798&gt;=7,O798&lt;=8),"Passives",AND(O798&gt;8,O798&lt;=10),"Promoters",O798="Not Available","NA")</f>
        <v>Passives</v>
      </c>
    </row>
    <row r="799" spans="1:16" ht="14.25" customHeight="1" x14ac:dyDescent="0.3">
      <c r="A799" s="2" t="s">
        <v>825</v>
      </c>
      <c r="B799" s="2" t="s">
        <v>32</v>
      </c>
      <c r="C799" s="2" t="s">
        <v>16</v>
      </c>
      <c r="D799" s="3">
        <v>45934</v>
      </c>
      <c r="E799" s="3">
        <v>45937</v>
      </c>
      <c r="F799" s="3">
        <v>45942</v>
      </c>
      <c r="G799" s="3">
        <v>45946</v>
      </c>
      <c r="H799" s="23" t="str">
        <f t="shared" si="12"/>
        <v>Delivered</v>
      </c>
      <c r="I799" s="2" t="s">
        <v>17</v>
      </c>
      <c r="J799" s="24" t="s">
        <v>1054</v>
      </c>
      <c r="K799" s="3">
        <v>45956</v>
      </c>
      <c r="L799" s="2">
        <v>3</v>
      </c>
      <c r="M799" s="2">
        <v>5</v>
      </c>
      <c r="N799" s="2">
        <v>4</v>
      </c>
      <c r="O799" s="36">
        <v>7</v>
      </c>
      <c r="P799" s="24" t="str" cm="1">
        <f t="array" ref="P799">_xlfn.IFS(O799&lt;=6,"Detractors",AND(O799&gt;=7,O799&lt;=8),"Passives",AND(O799&gt;8,O799&lt;=10),"Promoters",O799="Not Available","NA")</f>
        <v>Passives</v>
      </c>
    </row>
    <row r="800" spans="1:16" ht="14.25" customHeight="1" x14ac:dyDescent="0.3">
      <c r="A800" s="2" t="s">
        <v>826</v>
      </c>
      <c r="B800" s="2" t="s">
        <v>19</v>
      </c>
      <c r="C800" s="2" t="s">
        <v>22</v>
      </c>
      <c r="D800" s="3">
        <v>45935</v>
      </c>
      <c r="H800" s="23" t="str">
        <f t="shared" si="12"/>
        <v>Not Delivered</v>
      </c>
      <c r="I800" s="2" t="s">
        <v>23</v>
      </c>
      <c r="J800" s="2" t="s">
        <v>101</v>
      </c>
      <c r="L800">
        <v>0</v>
      </c>
      <c r="M800">
        <v>0</v>
      </c>
      <c r="N800">
        <v>0</v>
      </c>
      <c r="O800" t="s">
        <v>1080</v>
      </c>
      <c r="P800" s="24" t="str" cm="1">
        <f t="array" ref="P800">_xlfn.IFS(O800&lt;=6,"Detractors",AND(O800&gt;=7,O800&lt;=8),"Passives",AND(O800&gt;8,O800&lt;=10),"Promoters",O800="Not Available","NA")</f>
        <v>NA</v>
      </c>
    </row>
    <row r="801" spans="1:16" ht="14.25" customHeight="1" x14ac:dyDescent="0.3">
      <c r="A801" s="2" t="s">
        <v>827</v>
      </c>
      <c r="B801" s="2" t="s">
        <v>19</v>
      </c>
      <c r="C801" s="2" t="s">
        <v>22</v>
      </c>
      <c r="D801" s="3">
        <v>45932</v>
      </c>
      <c r="H801" s="23" t="str">
        <f t="shared" si="12"/>
        <v>Not Delivered</v>
      </c>
      <c r="I801" s="2" t="s">
        <v>23</v>
      </c>
      <c r="J801" s="2" t="s">
        <v>63</v>
      </c>
      <c r="L801">
        <v>0</v>
      </c>
      <c r="M801">
        <v>0</v>
      </c>
      <c r="N801">
        <v>0</v>
      </c>
      <c r="O801" t="s">
        <v>1080</v>
      </c>
      <c r="P801" s="24" t="str" cm="1">
        <f t="array" ref="P801">_xlfn.IFS(O801&lt;=6,"Detractors",AND(O801&gt;=7,O801&lt;=8),"Passives",AND(O801&gt;8,O801&lt;=10),"Promoters",O801="Not Available","NA")</f>
        <v>NA</v>
      </c>
    </row>
    <row r="802" spans="1:16" ht="14.25" customHeight="1" x14ac:dyDescent="0.3">
      <c r="A802" s="2" t="s">
        <v>828</v>
      </c>
      <c r="B802" s="2" t="s">
        <v>15</v>
      </c>
      <c r="C802" s="2" t="s">
        <v>22</v>
      </c>
      <c r="D802" s="3">
        <v>45961</v>
      </c>
      <c r="H802" s="23" t="str">
        <f t="shared" si="12"/>
        <v>Not Delivered</v>
      </c>
      <c r="I802" s="2" t="s">
        <v>23</v>
      </c>
      <c r="J802" s="2" t="s">
        <v>24</v>
      </c>
      <c r="L802">
        <v>0</v>
      </c>
      <c r="M802">
        <v>0</v>
      </c>
      <c r="N802">
        <v>0</v>
      </c>
      <c r="O802" t="s">
        <v>1080</v>
      </c>
      <c r="P802" s="24" t="str" cm="1">
        <f t="array" ref="P802">_xlfn.IFS(O802&lt;=6,"Detractors",AND(O802&gt;=7,O802&lt;=8),"Passives",AND(O802&gt;8,O802&lt;=10),"Promoters",O802="Not Available","NA")</f>
        <v>NA</v>
      </c>
    </row>
    <row r="803" spans="1:16" ht="14.25" customHeight="1" x14ac:dyDescent="0.3">
      <c r="A803" s="2" t="s">
        <v>829</v>
      </c>
      <c r="B803" s="2" t="s">
        <v>21</v>
      </c>
      <c r="C803" s="2" t="s">
        <v>16</v>
      </c>
      <c r="D803" s="3">
        <v>45932</v>
      </c>
      <c r="E803" s="3">
        <v>45934</v>
      </c>
      <c r="F803" s="3">
        <v>45936</v>
      </c>
      <c r="G803" s="3">
        <v>45939</v>
      </c>
      <c r="H803" s="23" t="str">
        <f t="shared" si="12"/>
        <v>Delivered</v>
      </c>
      <c r="I803" s="2" t="s">
        <v>23</v>
      </c>
      <c r="J803" s="2" t="s">
        <v>101</v>
      </c>
      <c r="L803" s="2">
        <v>2</v>
      </c>
      <c r="M803" s="2">
        <v>2</v>
      </c>
      <c r="N803" s="2">
        <v>3</v>
      </c>
      <c r="O803" t="s">
        <v>1080</v>
      </c>
      <c r="P803" s="24" t="str" cm="1">
        <f t="array" ref="P803">_xlfn.IFS(O803&lt;=6,"Detractors",AND(O803&gt;=7,O803&lt;=8),"Passives",AND(O803&gt;8,O803&lt;=10),"Promoters",O803="Not Available","NA")</f>
        <v>NA</v>
      </c>
    </row>
    <row r="804" spans="1:16" ht="14.25" customHeight="1" x14ac:dyDescent="0.3">
      <c r="A804" s="2" t="s">
        <v>830</v>
      </c>
      <c r="B804" s="2" t="s">
        <v>15</v>
      </c>
      <c r="C804" s="2" t="s">
        <v>16</v>
      </c>
      <c r="D804" s="3">
        <v>45940</v>
      </c>
      <c r="E804" s="3">
        <v>45945</v>
      </c>
      <c r="F804" s="3">
        <v>45950</v>
      </c>
      <c r="G804" s="3">
        <v>45955</v>
      </c>
      <c r="H804" s="23" t="str">
        <f t="shared" si="12"/>
        <v>Delivered</v>
      </c>
      <c r="I804" s="2" t="s">
        <v>17</v>
      </c>
      <c r="J804" s="24" t="s">
        <v>1054</v>
      </c>
      <c r="K804" s="3">
        <v>45983</v>
      </c>
      <c r="L804" s="2">
        <v>5</v>
      </c>
      <c r="M804" s="2">
        <v>5</v>
      </c>
      <c r="N804" s="2">
        <v>5</v>
      </c>
      <c r="O804" s="36">
        <v>10</v>
      </c>
      <c r="P804" s="24" t="str" cm="1">
        <f t="array" ref="P804">_xlfn.IFS(O804&lt;=6,"Detractors",AND(O804&gt;=7,O804&lt;=8),"Passives",AND(O804&gt;8,O804&lt;=10),"Promoters",O804="Not Available","NA")</f>
        <v>Promoters</v>
      </c>
    </row>
    <row r="805" spans="1:16" ht="14.25" customHeight="1" x14ac:dyDescent="0.3">
      <c r="A805" s="2" t="s">
        <v>831</v>
      </c>
      <c r="B805" s="2" t="s">
        <v>32</v>
      </c>
      <c r="C805" s="2" t="s">
        <v>16</v>
      </c>
      <c r="D805" s="3">
        <v>45946</v>
      </c>
      <c r="E805" s="3">
        <v>45949</v>
      </c>
      <c r="F805" s="3">
        <v>45954</v>
      </c>
      <c r="G805" s="3">
        <v>45958</v>
      </c>
      <c r="H805" s="23" t="str">
        <f t="shared" si="12"/>
        <v>Delivered</v>
      </c>
      <c r="I805" s="2" t="s">
        <v>17</v>
      </c>
      <c r="J805" s="24" t="s">
        <v>1054</v>
      </c>
      <c r="K805" s="3">
        <v>45984</v>
      </c>
      <c r="L805" s="2">
        <v>3</v>
      </c>
      <c r="M805" s="2">
        <v>5</v>
      </c>
      <c r="N805" s="2">
        <v>4</v>
      </c>
      <c r="O805" s="36">
        <v>1</v>
      </c>
      <c r="P805" s="24" t="str" cm="1">
        <f t="array" ref="P805">_xlfn.IFS(O805&lt;=6,"Detractors",AND(O805&gt;=7,O805&lt;=8),"Passives",AND(O805&gt;8,O805&lt;=10),"Promoters",O805="Not Available","NA")</f>
        <v>Detractors</v>
      </c>
    </row>
    <row r="806" spans="1:16" ht="14.25" customHeight="1" x14ac:dyDescent="0.3">
      <c r="A806" s="2" t="s">
        <v>832</v>
      </c>
      <c r="B806" s="2" t="s">
        <v>21</v>
      </c>
      <c r="C806" s="2" t="s">
        <v>16</v>
      </c>
      <c r="D806" s="3">
        <v>45934</v>
      </c>
      <c r="E806" s="3">
        <v>45936</v>
      </c>
      <c r="F806" s="3">
        <v>45938</v>
      </c>
      <c r="G806" s="3">
        <v>45943</v>
      </c>
      <c r="H806" s="23" t="str">
        <f t="shared" si="12"/>
        <v>Delivered</v>
      </c>
      <c r="I806" s="2" t="s">
        <v>17</v>
      </c>
      <c r="J806" s="24" t="s">
        <v>1054</v>
      </c>
      <c r="K806" s="3">
        <v>45958</v>
      </c>
      <c r="L806" s="2">
        <v>2</v>
      </c>
      <c r="M806" s="2">
        <v>2</v>
      </c>
      <c r="N806" s="2">
        <v>5</v>
      </c>
      <c r="O806" s="36">
        <v>9</v>
      </c>
      <c r="P806" s="24" t="str" cm="1">
        <f t="array" ref="P806">_xlfn.IFS(O806&lt;=6,"Detractors",AND(O806&gt;=7,O806&lt;=8),"Passives",AND(O806&gt;8,O806&lt;=10),"Promoters",O806="Not Available","NA")</f>
        <v>Promoters</v>
      </c>
    </row>
    <row r="807" spans="1:16" ht="14.25" customHeight="1" x14ac:dyDescent="0.3">
      <c r="A807" s="2" t="s">
        <v>833</v>
      </c>
      <c r="B807" s="2" t="s">
        <v>19</v>
      </c>
      <c r="C807" s="2" t="s">
        <v>22</v>
      </c>
      <c r="D807" s="3">
        <v>45934</v>
      </c>
      <c r="H807" s="23" t="str">
        <f t="shared" si="12"/>
        <v>Not Delivered</v>
      </c>
      <c r="I807" s="2" t="s">
        <v>23</v>
      </c>
      <c r="J807" s="2" t="s">
        <v>24</v>
      </c>
      <c r="L807">
        <v>0</v>
      </c>
      <c r="M807">
        <v>0</v>
      </c>
      <c r="N807">
        <v>0</v>
      </c>
      <c r="O807" t="s">
        <v>1080</v>
      </c>
      <c r="P807" s="24" t="str" cm="1">
        <f t="array" ref="P807">_xlfn.IFS(O807&lt;=6,"Detractors",AND(O807&gt;=7,O807&lt;=8),"Passives",AND(O807&gt;8,O807&lt;=10),"Promoters",O807="Not Available","NA")</f>
        <v>NA</v>
      </c>
    </row>
    <row r="808" spans="1:16" ht="14.25" customHeight="1" x14ac:dyDescent="0.3">
      <c r="A808" s="42" t="s">
        <v>834</v>
      </c>
      <c r="B808" s="2" t="s">
        <v>21</v>
      </c>
      <c r="C808" s="2" t="s">
        <v>30</v>
      </c>
      <c r="D808" s="3">
        <v>45938</v>
      </c>
      <c r="E808" s="3">
        <v>45941</v>
      </c>
      <c r="F808" s="3">
        <v>45945</v>
      </c>
      <c r="G808" s="3">
        <v>45949</v>
      </c>
      <c r="H808" s="23" t="str">
        <f t="shared" si="12"/>
        <v>Delivered</v>
      </c>
      <c r="I808" s="2" t="s">
        <v>17</v>
      </c>
      <c r="J808" s="24" t="s">
        <v>1054</v>
      </c>
      <c r="K808" s="3">
        <v>45962</v>
      </c>
      <c r="L808" s="2">
        <v>3</v>
      </c>
      <c r="M808" s="2">
        <v>4</v>
      </c>
      <c r="N808" s="2">
        <v>4</v>
      </c>
      <c r="O808" s="36">
        <v>3</v>
      </c>
      <c r="P808" s="24" t="str" cm="1">
        <f t="array" ref="P808">_xlfn.IFS(O808&lt;=6,"Detractors",AND(O808&gt;=7,O808&lt;=8),"Passives",AND(O808&gt;8,O808&lt;=10),"Promoters",O808="Not Available","NA")</f>
        <v>Detractors</v>
      </c>
    </row>
    <row r="809" spans="1:16" ht="14.25" customHeight="1" x14ac:dyDescent="0.3">
      <c r="A809" s="2" t="s">
        <v>835</v>
      </c>
      <c r="B809" s="2" t="s">
        <v>19</v>
      </c>
      <c r="C809" s="2" t="s">
        <v>16</v>
      </c>
      <c r="D809" s="3">
        <v>45959</v>
      </c>
      <c r="E809" s="3">
        <v>45964</v>
      </c>
      <c r="F809" s="3">
        <v>45966</v>
      </c>
      <c r="G809" s="3">
        <v>45968</v>
      </c>
      <c r="H809" s="23" t="str">
        <f t="shared" si="12"/>
        <v>Delivered</v>
      </c>
      <c r="I809" s="2" t="s">
        <v>17</v>
      </c>
      <c r="J809" s="24" t="s">
        <v>1054</v>
      </c>
      <c r="K809" s="3">
        <v>45989</v>
      </c>
      <c r="L809" s="2">
        <v>5</v>
      </c>
      <c r="M809" s="2">
        <v>2</v>
      </c>
      <c r="N809" s="2">
        <v>2</v>
      </c>
      <c r="O809" s="36">
        <v>2</v>
      </c>
      <c r="P809" s="24" t="str" cm="1">
        <f t="array" ref="P809">_xlfn.IFS(O809&lt;=6,"Detractors",AND(O809&gt;=7,O809&lt;=8),"Passives",AND(O809&gt;8,O809&lt;=10),"Promoters",O809="Not Available","NA")</f>
        <v>Detractors</v>
      </c>
    </row>
    <row r="810" spans="1:16" ht="14.25" customHeight="1" x14ac:dyDescent="0.3">
      <c r="A810" s="42" t="s">
        <v>836</v>
      </c>
      <c r="B810" s="2" t="s">
        <v>21</v>
      </c>
      <c r="C810" s="2" t="s">
        <v>30</v>
      </c>
      <c r="D810" s="3">
        <v>45948</v>
      </c>
      <c r="E810" s="3">
        <v>45953</v>
      </c>
      <c r="F810" s="3">
        <v>45955</v>
      </c>
      <c r="G810" s="3">
        <v>45957</v>
      </c>
      <c r="H810" s="23" t="str">
        <f t="shared" si="12"/>
        <v>Delivered</v>
      </c>
      <c r="I810" s="2" t="s">
        <v>17</v>
      </c>
      <c r="J810" s="24" t="s">
        <v>1054</v>
      </c>
      <c r="K810" s="3">
        <v>45987</v>
      </c>
      <c r="L810" s="2">
        <v>5</v>
      </c>
      <c r="M810" s="2">
        <v>2</v>
      </c>
      <c r="N810" s="2">
        <v>2</v>
      </c>
      <c r="O810" s="36">
        <v>5</v>
      </c>
      <c r="P810" s="24" t="str" cm="1">
        <f t="array" ref="P810">_xlfn.IFS(O810&lt;=6,"Detractors",AND(O810&gt;=7,O810&lt;=8),"Passives",AND(O810&gt;8,O810&lt;=10),"Promoters",O810="Not Available","NA")</f>
        <v>Detractors</v>
      </c>
    </row>
    <row r="811" spans="1:16" ht="14.25" customHeight="1" x14ac:dyDescent="0.3">
      <c r="A811" s="2" t="s">
        <v>837</v>
      </c>
      <c r="B811" s="2" t="s">
        <v>21</v>
      </c>
      <c r="C811" s="2" t="s">
        <v>16</v>
      </c>
      <c r="D811" s="3">
        <v>45935</v>
      </c>
      <c r="E811" s="3">
        <v>45936</v>
      </c>
      <c r="F811" s="3">
        <v>45939</v>
      </c>
      <c r="G811" s="3">
        <v>45942</v>
      </c>
      <c r="H811" s="23" t="str">
        <f t="shared" si="12"/>
        <v>Delivered</v>
      </c>
      <c r="I811" s="2" t="s">
        <v>17</v>
      </c>
      <c r="J811" s="24" t="s">
        <v>1054</v>
      </c>
      <c r="K811" s="3">
        <v>45953</v>
      </c>
      <c r="L811" s="2">
        <v>1</v>
      </c>
      <c r="M811" s="2">
        <v>3</v>
      </c>
      <c r="N811" s="2">
        <v>3</v>
      </c>
      <c r="O811" s="36">
        <v>1</v>
      </c>
      <c r="P811" s="24" t="str" cm="1">
        <f t="array" ref="P811">_xlfn.IFS(O811&lt;=6,"Detractors",AND(O811&gt;=7,O811&lt;=8),"Passives",AND(O811&gt;8,O811&lt;=10),"Promoters",O811="Not Available","NA")</f>
        <v>Detractors</v>
      </c>
    </row>
    <row r="812" spans="1:16" ht="14.25" customHeight="1" x14ac:dyDescent="0.3">
      <c r="A812" s="2" t="s">
        <v>838</v>
      </c>
      <c r="B812" s="2" t="s">
        <v>21</v>
      </c>
      <c r="C812" s="2" t="s">
        <v>22</v>
      </c>
      <c r="D812" s="3">
        <v>45943</v>
      </c>
      <c r="H812" s="23" t="str">
        <f t="shared" si="12"/>
        <v>Not Delivered</v>
      </c>
      <c r="I812" s="2" t="s">
        <v>23</v>
      </c>
      <c r="J812" s="2" t="s">
        <v>63</v>
      </c>
      <c r="L812">
        <v>0</v>
      </c>
      <c r="M812">
        <v>0</v>
      </c>
      <c r="N812">
        <v>0</v>
      </c>
      <c r="O812" t="s">
        <v>1080</v>
      </c>
      <c r="P812" s="24" t="str" cm="1">
        <f t="array" ref="P812">_xlfn.IFS(O812&lt;=6,"Detractors",AND(O812&gt;=7,O812&lt;=8),"Passives",AND(O812&gt;8,O812&lt;=10),"Promoters",O812="Not Available","NA")</f>
        <v>NA</v>
      </c>
    </row>
    <row r="813" spans="1:16" ht="14.25" customHeight="1" x14ac:dyDescent="0.3">
      <c r="A813" s="2" t="s">
        <v>839</v>
      </c>
      <c r="B813" s="2" t="s">
        <v>32</v>
      </c>
      <c r="C813" s="2" t="s">
        <v>16</v>
      </c>
      <c r="D813" s="3">
        <v>45945</v>
      </c>
      <c r="E813" s="3">
        <v>45950</v>
      </c>
      <c r="F813" s="3">
        <v>45953</v>
      </c>
      <c r="G813" s="3">
        <v>45960</v>
      </c>
      <c r="H813" s="23" t="str">
        <f t="shared" si="12"/>
        <v>Delivered</v>
      </c>
      <c r="I813" s="2" t="s">
        <v>17</v>
      </c>
      <c r="J813" s="24" t="s">
        <v>1054</v>
      </c>
      <c r="K813" s="3">
        <v>45982</v>
      </c>
      <c r="L813" s="2">
        <v>5</v>
      </c>
      <c r="M813" s="2">
        <v>3</v>
      </c>
      <c r="N813" s="2">
        <v>7</v>
      </c>
      <c r="O813" s="36">
        <v>7</v>
      </c>
      <c r="P813" s="24" t="str" cm="1">
        <f t="array" ref="P813">_xlfn.IFS(O813&lt;=6,"Detractors",AND(O813&gt;=7,O813&lt;=8),"Passives",AND(O813&gt;8,O813&lt;=10),"Promoters",O813="Not Available","NA")</f>
        <v>Passives</v>
      </c>
    </row>
    <row r="814" spans="1:16" ht="14.25" customHeight="1" x14ac:dyDescent="0.3">
      <c r="A814" s="42" t="s">
        <v>840</v>
      </c>
      <c r="B814" s="2" t="s">
        <v>32</v>
      </c>
      <c r="C814" s="2" t="s">
        <v>30</v>
      </c>
      <c r="D814" s="3">
        <v>45942</v>
      </c>
      <c r="E814" s="3">
        <v>45944</v>
      </c>
      <c r="F814" s="3">
        <v>45947</v>
      </c>
      <c r="G814" s="3">
        <v>45951</v>
      </c>
      <c r="H814" s="23" t="str">
        <f t="shared" si="12"/>
        <v>Delivered</v>
      </c>
      <c r="I814" s="2" t="s">
        <v>17</v>
      </c>
      <c r="J814" s="24" t="s">
        <v>1054</v>
      </c>
      <c r="K814" s="3">
        <v>45981</v>
      </c>
      <c r="L814" s="2">
        <v>2</v>
      </c>
      <c r="M814" s="2">
        <v>3</v>
      </c>
      <c r="N814" s="2">
        <v>4</v>
      </c>
      <c r="O814" s="36">
        <v>3</v>
      </c>
      <c r="P814" s="24" t="str" cm="1">
        <f t="array" ref="P814">_xlfn.IFS(O814&lt;=6,"Detractors",AND(O814&gt;=7,O814&lt;=8),"Passives",AND(O814&gt;8,O814&lt;=10),"Promoters",O814="Not Available","NA")</f>
        <v>Detractors</v>
      </c>
    </row>
    <row r="815" spans="1:16" ht="14.25" customHeight="1" x14ac:dyDescent="0.3">
      <c r="A815" s="2" t="s">
        <v>841</v>
      </c>
      <c r="B815" s="2" t="s">
        <v>15</v>
      </c>
      <c r="C815" s="2" t="s">
        <v>22</v>
      </c>
      <c r="D815" s="3">
        <v>45952</v>
      </c>
      <c r="H815" s="23" t="str">
        <f t="shared" si="12"/>
        <v>Not Delivered</v>
      </c>
      <c r="I815" s="2" t="s">
        <v>23</v>
      </c>
      <c r="J815" s="2" t="s">
        <v>24</v>
      </c>
      <c r="L815">
        <v>0</v>
      </c>
      <c r="M815">
        <v>0</v>
      </c>
      <c r="N815">
        <v>0</v>
      </c>
      <c r="O815" t="s">
        <v>1080</v>
      </c>
      <c r="P815" s="24" t="str" cm="1">
        <f t="array" ref="P815">_xlfn.IFS(O815&lt;=6,"Detractors",AND(O815&gt;=7,O815&lt;=8),"Passives",AND(O815&gt;8,O815&lt;=10),"Promoters",O815="Not Available","NA")</f>
        <v>NA</v>
      </c>
    </row>
    <row r="816" spans="1:16" ht="14.25" customHeight="1" x14ac:dyDescent="0.3">
      <c r="A816" s="2" t="s">
        <v>842</v>
      </c>
      <c r="B816" s="2" t="s">
        <v>15</v>
      </c>
      <c r="C816" s="2" t="s">
        <v>16</v>
      </c>
      <c r="D816" s="3">
        <v>45961</v>
      </c>
      <c r="E816" s="3">
        <v>45966</v>
      </c>
      <c r="F816" s="3">
        <v>45970</v>
      </c>
      <c r="G816" s="3">
        <v>45977</v>
      </c>
      <c r="H816" s="23" t="str">
        <f t="shared" si="12"/>
        <v>Delivered</v>
      </c>
      <c r="I816" s="2" t="s">
        <v>17</v>
      </c>
      <c r="J816" s="24" t="s">
        <v>1054</v>
      </c>
      <c r="K816" s="3">
        <v>45995</v>
      </c>
      <c r="L816" s="2">
        <v>5</v>
      </c>
      <c r="M816" s="2">
        <v>4</v>
      </c>
      <c r="N816" s="2">
        <v>7</v>
      </c>
      <c r="O816" s="36">
        <v>2</v>
      </c>
      <c r="P816" s="24" t="str" cm="1">
        <f t="array" ref="P816">_xlfn.IFS(O816&lt;=6,"Detractors",AND(O816&gt;=7,O816&lt;=8),"Passives",AND(O816&gt;8,O816&lt;=10),"Promoters",O816="Not Available","NA")</f>
        <v>Detractors</v>
      </c>
    </row>
    <row r="817" spans="1:16" ht="14.25" customHeight="1" x14ac:dyDescent="0.3">
      <c r="A817" s="42" t="s">
        <v>843</v>
      </c>
      <c r="B817" s="2" t="s">
        <v>19</v>
      </c>
      <c r="C817" s="2" t="s">
        <v>30</v>
      </c>
      <c r="D817" s="3">
        <v>45954</v>
      </c>
      <c r="E817" s="3">
        <v>45959</v>
      </c>
      <c r="F817" s="3">
        <v>45961</v>
      </c>
      <c r="G817" s="3">
        <v>45968</v>
      </c>
      <c r="H817" s="23" t="str">
        <f t="shared" si="12"/>
        <v>Delivered</v>
      </c>
      <c r="I817" s="2" t="s">
        <v>17</v>
      </c>
      <c r="J817" s="24" t="s">
        <v>1054</v>
      </c>
      <c r="K817" s="3">
        <v>45995</v>
      </c>
      <c r="L817" s="2">
        <v>5</v>
      </c>
      <c r="M817" s="2">
        <v>2</v>
      </c>
      <c r="N817" s="2">
        <v>7</v>
      </c>
      <c r="O817" s="36">
        <v>5</v>
      </c>
      <c r="P817" s="24" t="str" cm="1">
        <f t="array" ref="P817">_xlfn.IFS(O817&lt;=6,"Detractors",AND(O817&gt;=7,O817&lt;=8),"Passives",AND(O817&gt;8,O817&lt;=10),"Promoters",O817="Not Available","NA")</f>
        <v>Detractors</v>
      </c>
    </row>
    <row r="818" spans="1:16" ht="14.25" customHeight="1" x14ac:dyDescent="0.3">
      <c r="A818" s="2" t="s">
        <v>844</v>
      </c>
      <c r="B818" s="2" t="s">
        <v>32</v>
      </c>
      <c r="C818" s="2" t="s">
        <v>30</v>
      </c>
      <c r="D818" s="3">
        <v>45953</v>
      </c>
      <c r="E818" s="3">
        <v>45955</v>
      </c>
      <c r="F818" s="3">
        <v>45956</v>
      </c>
      <c r="G818" s="3">
        <v>45962</v>
      </c>
      <c r="H818" s="23" t="str">
        <f t="shared" si="12"/>
        <v>Delivered</v>
      </c>
      <c r="I818" s="2" t="s">
        <v>23</v>
      </c>
      <c r="J818" s="2" t="s">
        <v>63</v>
      </c>
      <c r="L818" s="2">
        <v>2</v>
      </c>
      <c r="M818" s="2">
        <v>1</v>
      </c>
      <c r="N818" s="2">
        <v>6</v>
      </c>
      <c r="O818" t="s">
        <v>1080</v>
      </c>
      <c r="P818" s="24" t="str" cm="1">
        <f t="array" ref="P818">_xlfn.IFS(O818&lt;=6,"Detractors",AND(O818&gt;=7,O818&lt;=8),"Passives",AND(O818&gt;8,O818&lt;=10),"Promoters",O818="Not Available","NA")</f>
        <v>NA</v>
      </c>
    </row>
    <row r="819" spans="1:16" ht="14.25" customHeight="1" x14ac:dyDescent="0.3">
      <c r="A819" s="42" t="s">
        <v>845</v>
      </c>
      <c r="B819" s="2" t="s">
        <v>19</v>
      </c>
      <c r="C819" s="2" t="s">
        <v>30</v>
      </c>
      <c r="D819" s="3">
        <v>45961</v>
      </c>
      <c r="E819" s="3">
        <v>45963</v>
      </c>
      <c r="F819" s="3">
        <v>45965</v>
      </c>
      <c r="G819" s="3">
        <v>45967</v>
      </c>
      <c r="H819" s="23" t="str">
        <f t="shared" si="12"/>
        <v>Delivered</v>
      </c>
      <c r="I819" s="2" t="s">
        <v>17</v>
      </c>
      <c r="J819" s="24" t="s">
        <v>1054</v>
      </c>
      <c r="K819" s="3">
        <v>45996</v>
      </c>
      <c r="L819" s="2">
        <v>2</v>
      </c>
      <c r="M819" s="2">
        <v>2</v>
      </c>
      <c r="N819" s="2">
        <v>2</v>
      </c>
      <c r="O819" s="36">
        <v>8</v>
      </c>
      <c r="P819" s="24" t="str" cm="1">
        <f t="array" ref="P819">_xlfn.IFS(O819&lt;=6,"Detractors",AND(O819&gt;=7,O819&lt;=8),"Passives",AND(O819&gt;8,O819&lt;=10),"Promoters",O819="Not Available","NA")</f>
        <v>Passives</v>
      </c>
    </row>
    <row r="820" spans="1:16" ht="14.25" customHeight="1" x14ac:dyDescent="0.3">
      <c r="A820" s="42" t="s">
        <v>846</v>
      </c>
      <c r="B820" s="2" t="s">
        <v>15</v>
      </c>
      <c r="C820" s="2" t="s">
        <v>30</v>
      </c>
      <c r="D820" s="3">
        <v>45948</v>
      </c>
      <c r="E820" s="3">
        <v>45953</v>
      </c>
      <c r="F820" s="3">
        <v>45957</v>
      </c>
      <c r="G820" s="3">
        <v>45960</v>
      </c>
      <c r="H820" s="23" t="str">
        <f t="shared" si="12"/>
        <v>Delivered</v>
      </c>
      <c r="I820" s="2" t="s">
        <v>17</v>
      </c>
      <c r="J820" s="24" t="s">
        <v>1054</v>
      </c>
      <c r="K820" s="3">
        <v>45971</v>
      </c>
      <c r="L820" s="2">
        <v>5</v>
      </c>
      <c r="M820" s="2">
        <v>4</v>
      </c>
      <c r="N820" s="2">
        <v>3</v>
      </c>
      <c r="O820" s="36">
        <v>8</v>
      </c>
      <c r="P820" s="24" t="str" cm="1">
        <f t="array" ref="P820">_xlfn.IFS(O820&lt;=6,"Detractors",AND(O820&gt;=7,O820&lt;=8),"Passives",AND(O820&gt;8,O820&lt;=10),"Promoters",O820="Not Available","NA")</f>
        <v>Passives</v>
      </c>
    </row>
    <row r="821" spans="1:16" ht="14.25" customHeight="1" x14ac:dyDescent="0.3">
      <c r="A821" s="2" t="s">
        <v>847</v>
      </c>
      <c r="B821" s="2" t="s">
        <v>19</v>
      </c>
      <c r="C821" s="2" t="s">
        <v>22</v>
      </c>
      <c r="D821" s="3">
        <v>45944</v>
      </c>
      <c r="H821" s="23" t="str">
        <f t="shared" si="12"/>
        <v>Not Delivered</v>
      </c>
      <c r="I821" s="2" t="s">
        <v>23</v>
      </c>
      <c r="J821" s="2" t="s">
        <v>63</v>
      </c>
      <c r="L821">
        <v>0</v>
      </c>
      <c r="M821">
        <v>0</v>
      </c>
      <c r="N821">
        <v>0</v>
      </c>
      <c r="O821" t="s">
        <v>1080</v>
      </c>
      <c r="P821" s="24" t="str" cm="1">
        <f t="array" ref="P821">_xlfn.IFS(O821&lt;=6,"Detractors",AND(O821&gt;=7,O821&lt;=8),"Passives",AND(O821&gt;8,O821&lt;=10),"Promoters",O821="Not Available","NA")</f>
        <v>NA</v>
      </c>
    </row>
    <row r="822" spans="1:16" ht="14.25" customHeight="1" x14ac:dyDescent="0.3">
      <c r="A822" s="2" t="s">
        <v>848</v>
      </c>
      <c r="B822" s="2" t="s">
        <v>15</v>
      </c>
      <c r="C822" s="2" t="s">
        <v>16</v>
      </c>
      <c r="D822" s="3">
        <v>45949</v>
      </c>
      <c r="E822" s="3">
        <v>45954</v>
      </c>
      <c r="F822" s="3">
        <v>45957</v>
      </c>
      <c r="G822" s="3">
        <v>45961</v>
      </c>
      <c r="H822" s="23" t="str">
        <f t="shared" si="12"/>
        <v>Delivered</v>
      </c>
      <c r="I822" s="2" t="s">
        <v>17</v>
      </c>
      <c r="J822" s="24" t="s">
        <v>1054</v>
      </c>
      <c r="K822" s="3">
        <v>45990</v>
      </c>
      <c r="L822" s="2">
        <v>5</v>
      </c>
      <c r="M822" s="2">
        <v>3</v>
      </c>
      <c r="N822" s="2">
        <v>4</v>
      </c>
      <c r="O822" s="36">
        <v>2</v>
      </c>
      <c r="P822" s="24" t="str" cm="1">
        <f t="array" ref="P822">_xlfn.IFS(O822&lt;=6,"Detractors",AND(O822&gt;=7,O822&lt;=8),"Passives",AND(O822&gt;8,O822&lt;=10),"Promoters",O822="Not Available","NA")</f>
        <v>Detractors</v>
      </c>
    </row>
    <row r="823" spans="1:16" ht="14.25" customHeight="1" x14ac:dyDescent="0.3">
      <c r="A823" s="2" t="s">
        <v>849</v>
      </c>
      <c r="B823" s="2" t="s">
        <v>32</v>
      </c>
      <c r="C823" s="2" t="s">
        <v>22</v>
      </c>
      <c r="D823" s="3">
        <v>45954</v>
      </c>
      <c r="H823" s="23" t="str">
        <f t="shared" si="12"/>
        <v>Not Delivered</v>
      </c>
      <c r="I823" s="2" t="s">
        <v>23</v>
      </c>
      <c r="J823" s="2" t="s">
        <v>33</v>
      </c>
      <c r="L823">
        <v>0</v>
      </c>
      <c r="M823">
        <v>0</v>
      </c>
      <c r="N823">
        <v>0</v>
      </c>
      <c r="O823" t="s">
        <v>1080</v>
      </c>
      <c r="P823" s="24" t="str" cm="1">
        <f t="array" ref="P823">_xlfn.IFS(O823&lt;=6,"Detractors",AND(O823&gt;=7,O823&lt;=8),"Passives",AND(O823&gt;8,O823&lt;=10),"Promoters",O823="Not Available","NA")</f>
        <v>NA</v>
      </c>
    </row>
    <row r="824" spans="1:16" ht="14.25" customHeight="1" x14ac:dyDescent="0.3">
      <c r="A824" s="2" t="s">
        <v>850</v>
      </c>
      <c r="B824" s="2" t="s">
        <v>21</v>
      </c>
      <c r="C824" s="2" t="s">
        <v>16</v>
      </c>
      <c r="D824" s="3">
        <v>45954</v>
      </c>
      <c r="E824" s="3">
        <v>45957</v>
      </c>
      <c r="F824" s="3">
        <v>45961</v>
      </c>
      <c r="G824" s="3">
        <v>45964</v>
      </c>
      <c r="H824" s="23" t="str">
        <f t="shared" si="12"/>
        <v>Delivered</v>
      </c>
      <c r="I824" s="2" t="s">
        <v>17</v>
      </c>
      <c r="J824" s="24" t="s">
        <v>1054</v>
      </c>
      <c r="K824" s="3">
        <v>45975</v>
      </c>
      <c r="L824" s="2">
        <v>3</v>
      </c>
      <c r="M824" s="2">
        <v>4</v>
      </c>
      <c r="N824" s="2">
        <v>3</v>
      </c>
      <c r="O824" s="36">
        <v>3</v>
      </c>
      <c r="P824" s="24" t="str" cm="1">
        <f t="array" ref="P824">_xlfn.IFS(O824&lt;=6,"Detractors",AND(O824&gt;=7,O824&lt;=8),"Passives",AND(O824&gt;8,O824&lt;=10),"Promoters",O824="Not Available","NA")</f>
        <v>Detractors</v>
      </c>
    </row>
    <row r="825" spans="1:16" ht="14.25" customHeight="1" x14ac:dyDescent="0.3">
      <c r="A825" s="42" t="s">
        <v>851</v>
      </c>
      <c r="B825" s="2" t="s">
        <v>32</v>
      </c>
      <c r="C825" s="2" t="s">
        <v>30</v>
      </c>
      <c r="D825" s="3">
        <v>45935</v>
      </c>
      <c r="E825" s="3">
        <v>45940</v>
      </c>
      <c r="F825" s="3">
        <v>45943</v>
      </c>
      <c r="G825" s="3">
        <v>45945</v>
      </c>
      <c r="H825" s="23" t="str">
        <f t="shared" si="12"/>
        <v>Delivered</v>
      </c>
      <c r="I825" s="2" t="s">
        <v>17</v>
      </c>
      <c r="J825" s="24" t="s">
        <v>1054</v>
      </c>
      <c r="K825" s="3">
        <v>45958</v>
      </c>
      <c r="L825" s="2">
        <v>5</v>
      </c>
      <c r="M825" s="2">
        <v>3</v>
      </c>
      <c r="N825" s="2">
        <v>2</v>
      </c>
      <c r="O825" s="36">
        <v>4</v>
      </c>
      <c r="P825" s="24" t="str" cm="1">
        <f t="array" ref="P825">_xlfn.IFS(O825&lt;=6,"Detractors",AND(O825&gt;=7,O825&lt;=8),"Passives",AND(O825&gt;8,O825&lt;=10),"Promoters",O825="Not Available","NA")</f>
        <v>Detractors</v>
      </c>
    </row>
    <row r="826" spans="1:16" ht="14.25" customHeight="1" x14ac:dyDescent="0.3">
      <c r="A826" s="2" t="s">
        <v>852</v>
      </c>
      <c r="B826" s="2" t="s">
        <v>19</v>
      </c>
      <c r="C826" s="2" t="s">
        <v>16</v>
      </c>
      <c r="D826" s="3">
        <v>45959</v>
      </c>
      <c r="E826" s="3">
        <v>45960</v>
      </c>
      <c r="F826" s="3">
        <v>45964</v>
      </c>
      <c r="G826" s="3">
        <v>45971</v>
      </c>
      <c r="H826" s="23" t="str">
        <f t="shared" si="12"/>
        <v>Delivered</v>
      </c>
      <c r="I826" s="2" t="s">
        <v>23</v>
      </c>
      <c r="J826" s="2" t="s">
        <v>63</v>
      </c>
      <c r="L826" s="2">
        <v>1</v>
      </c>
      <c r="M826" s="2">
        <v>4</v>
      </c>
      <c r="N826" s="2">
        <v>7</v>
      </c>
      <c r="O826" t="s">
        <v>1080</v>
      </c>
      <c r="P826" s="24" t="str" cm="1">
        <f t="array" ref="P826">_xlfn.IFS(O826&lt;=6,"Detractors",AND(O826&gt;=7,O826&lt;=8),"Passives",AND(O826&gt;8,O826&lt;=10),"Promoters",O826="Not Available","NA")</f>
        <v>NA</v>
      </c>
    </row>
    <row r="827" spans="1:16" ht="14.25" customHeight="1" x14ac:dyDescent="0.3">
      <c r="A827" s="42" t="s">
        <v>853</v>
      </c>
      <c r="B827" s="2" t="s">
        <v>19</v>
      </c>
      <c r="C827" s="2" t="s">
        <v>30</v>
      </c>
      <c r="D827" s="3">
        <v>45944</v>
      </c>
      <c r="E827" s="3">
        <v>45945</v>
      </c>
      <c r="F827" s="3">
        <v>45946</v>
      </c>
      <c r="G827" s="3">
        <v>45949</v>
      </c>
      <c r="H827" s="23" t="str">
        <f t="shared" si="12"/>
        <v>Delivered</v>
      </c>
      <c r="I827" s="2" t="s">
        <v>17</v>
      </c>
      <c r="J827" s="24" t="s">
        <v>1054</v>
      </c>
      <c r="K827" s="3">
        <v>45979</v>
      </c>
      <c r="L827" s="2">
        <v>1</v>
      </c>
      <c r="M827" s="2">
        <v>1</v>
      </c>
      <c r="N827" s="2">
        <v>3</v>
      </c>
      <c r="O827" s="36">
        <v>3</v>
      </c>
      <c r="P827" s="24" t="str" cm="1">
        <f t="array" ref="P827">_xlfn.IFS(O827&lt;=6,"Detractors",AND(O827&gt;=7,O827&lt;=8),"Passives",AND(O827&gt;8,O827&lt;=10),"Promoters",O827="Not Available","NA")</f>
        <v>Detractors</v>
      </c>
    </row>
    <row r="828" spans="1:16" ht="14.25" customHeight="1" x14ac:dyDescent="0.3">
      <c r="A828" s="2" t="s">
        <v>854</v>
      </c>
      <c r="B828" s="2" t="s">
        <v>32</v>
      </c>
      <c r="C828" s="2" t="s">
        <v>16</v>
      </c>
      <c r="D828" s="3">
        <v>45951</v>
      </c>
      <c r="E828" s="3">
        <v>45952</v>
      </c>
      <c r="F828" s="3">
        <v>45955</v>
      </c>
      <c r="G828" s="3">
        <v>45959</v>
      </c>
      <c r="H828" s="23" t="str">
        <f t="shared" si="12"/>
        <v>Delivered</v>
      </c>
      <c r="I828" s="2" t="s">
        <v>17</v>
      </c>
      <c r="J828" s="24" t="s">
        <v>1054</v>
      </c>
      <c r="K828" s="3">
        <v>45969</v>
      </c>
      <c r="L828" s="2">
        <v>1</v>
      </c>
      <c r="M828" s="2">
        <v>3</v>
      </c>
      <c r="N828" s="2">
        <v>4</v>
      </c>
      <c r="O828" s="36">
        <v>6</v>
      </c>
      <c r="P828" s="24" t="str" cm="1">
        <f t="array" ref="P828">_xlfn.IFS(O828&lt;=6,"Detractors",AND(O828&gt;=7,O828&lt;=8),"Passives",AND(O828&gt;8,O828&lt;=10),"Promoters",O828="Not Available","NA")</f>
        <v>Detractors</v>
      </c>
    </row>
    <row r="829" spans="1:16" ht="14.25" customHeight="1" x14ac:dyDescent="0.3">
      <c r="A829" s="2" t="s">
        <v>855</v>
      </c>
      <c r="B829" s="2" t="s">
        <v>32</v>
      </c>
      <c r="C829" s="2" t="s">
        <v>22</v>
      </c>
      <c r="D829" s="3">
        <v>45934</v>
      </c>
      <c r="H829" s="23" t="str">
        <f t="shared" si="12"/>
        <v>Not Delivered</v>
      </c>
      <c r="I829" s="2" t="s">
        <v>23</v>
      </c>
      <c r="J829" s="2" t="s">
        <v>63</v>
      </c>
      <c r="L829">
        <v>0</v>
      </c>
      <c r="M829">
        <v>0</v>
      </c>
      <c r="N829">
        <v>0</v>
      </c>
      <c r="O829" t="s">
        <v>1080</v>
      </c>
      <c r="P829" s="24" t="str" cm="1">
        <f t="array" ref="P829">_xlfn.IFS(O829&lt;=6,"Detractors",AND(O829&gt;=7,O829&lt;=8),"Passives",AND(O829&gt;8,O829&lt;=10),"Promoters",O829="Not Available","NA")</f>
        <v>NA</v>
      </c>
    </row>
    <row r="830" spans="1:16" ht="14.25" customHeight="1" x14ac:dyDescent="0.3">
      <c r="A830" s="2" t="s">
        <v>856</v>
      </c>
      <c r="B830" s="2" t="s">
        <v>15</v>
      </c>
      <c r="C830" s="2" t="s">
        <v>16</v>
      </c>
      <c r="D830" s="3">
        <v>45957</v>
      </c>
      <c r="E830" s="3">
        <v>45958</v>
      </c>
      <c r="F830" s="3">
        <v>45961</v>
      </c>
      <c r="G830" s="3">
        <v>45966</v>
      </c>
      <c r="H830" s="23" t="str">
        <f t="shared" si="12"/>
        <v>Delivered</v>
      </c>
      <c r="I830" s="2" t="s">
        <v>17</v>
      </c>
      <c r="J830" s="24" t="s">
        <v>1054</v>
      </c>
      <c r="K830" s="3">
        <v>45977</v>
      </c>
      <c r="L830" s="2">
        <v>1</v>
      </c>
      <c r="M830" s="2">
        <v>3</v>
      </c>
      <c r="N830" s="2">
        <v>5</v>
      </c>
      <c r="O830" s="36">
        <v>2</v>
      </c>
      <c r="P830" s="24" t="str" cm="1">
        <f t="array" ref="P830">_xlfn.IFS(O830&lt;=6,"Detractors",AND(O830&gt;=7,O830&lt;=8),"Passives",AND(O830&gt;8,O830&lt;=10),"Promoters",O830="Not Available","NA")</f>
        <v>Detractors</v>
      </c>
    </row>
    <row r="831" spans="1:16" ht="14.25" customHeight="1" x14ac:dyDescent="0.3">
      <c r="A831" s="2" t="s">
        <v>857</v>
      </c>
      <c r="B831" s="2" t="s">
        <v>19</v>
      </c>
      <c r="C831" s="2" t="s">
        <v>16</v>
      </c>
      <c r="D831" s="3">
        <v>45946</v>
      </c>
      <c r="E831" s="3">
        <v>45951</v>
      </c>
      <c r="F831" s="3">
        <v>45953</v>
      </c>
      <c r="G831" s="3">
        <v>45959</v>
      </c>
      <c r="H831" s="23" t="str">
        <f t="shared" si="12"/>
        <v>Delivered</v>
      </c>
      <c r="I831" s="2" t="s">
        <v>23</v>
      </c>
      <c r="J831" s="2" t="s">
        <v>26</v>
      </c>
      <c r="L831" s="2">
        <v>5</v>
      </c>
      <c r="M831" s="2">
        <v>2</v>
      </c>
      <c r="N831" s="2">
        <v>6</v>
      </c>
      <c r="O831" t="s">
        <v>1080</v>
      </c>
      <c r="P831" s="24" t="str" cm="1">
        <f t="array" ref="P831">_xlfn.IFS(O831&lt;=6,"Detractors",AND(O831&gt;=7,O831&lt;=8),"Passives",AND(O831&gt;8,O831&lt;=10),"Promoters",O831="Not Available","NA")</f>
        <v>NA</v>
      </c>
    </row>
    <row r="832" spans="1:16" ht="14.25" customHeight="1" x14ac:dyDescent="0.3">
      <c r="A832" s="2" t="s">
        <v>858</v>
      </c>
      <c r="B832" s="2" t="s">
        <v>19</v>
      </c>
      <c r="C832" s="2" t="s">
        <v>30</v>
      </c>
      <c r="D832" s="3">
        <v>45950</v>
      </c>
      <c r="E832" s="3">
        <v>45953</v>
      </c>
      <c r="F832" s="3">
        <v>45957</v>
      </c>
      <c r="G832" s="3">
        <v>45959</v>
      </c>
      <c r="H832" s="23" t="str">
        <f t="shared" si="12"/>
        <v>Delivered</v>
      </c>
      <c r="I832" s="2" t="s">
        <v>23</v>
      </c>
      <c r="J832" s="2" t="s">
        <v>101</v>
      </c>
      <c r="L832" s="2">
        <v>3</v>
      </c>
      <c r="M832" s="2">
        <v>4</v>
      </c>
      <c r="N832" s="2">
        <v>2</v>
      </c>
      <c r="O832" t="s">
        <v>1080</v>
      </c>
      <c r="P832" s="24" t="str" cm="1">
        <f t="array" ref="P832">_xlfn.IFS(O832&lt;=6,"Detractors",AND(O832&gt;=7,O832&lt;=8),"Passives",AND(O832&gt;8,O832&lt;=10),"Promoters",O832="Not Available","NA")</f>
        <v>NA</v>
      </c>
    </row>
    <row r="833" spans="1:16" ht="14.25" customHeight="1" x14ac:dyDescent="0.3">
      <c r="A833" s="42" t="s">
        <v>859</v>
      </c>
      <c r="B833" s="2" t="s">
        <v>32</v>
      </c>
      <c r="C833" s="2" t="s">
        <v>30</v>
      </c>
      <c r="D833" s="3">
        <v>45944</v>
      </c>
      <c r="E833" s="3">
        <v>45946</v>
      </c>
      <c r="F833" s="3">
        <v>45951</v>
      </c>
      <c r="G833" s="3">
        <v>45958</v>
      </c>
      <c r="H833" s="23" t="str">
        <f t="shared" si="12"/>
        <v>Delivered</v>
      </c>
      <c r="I833" s="2" t="s">
        <v>17</v>
      </c>
      <c r="J833" s="24" t="s">
        <v>1054</v>
      </c>
      <c r="K833" s="3">
        <v>45971</v>
      </c>
      <c r="L833" s="2">
        <v>2</v>
      </c>
      <c r="M833" s="2">
        <v>5</v>
      </c>
      <c r="N833" s="2">
        <v>7</v>
      </c>
      <c r="O833" s="36">
        <v>9</v>
      </c>
      <c r="P833" s="24" t="str" cm="1">
        <f t="array" ref="P833">_xlfn.IFS(O833&lt;=6,"Detractors",AND(O833&gt;=7,O833&lt;=8),"Passives",AND(O833&gt;8,O833&lt;=10),"Promoters",O833="Not Available","NA")</f>
        <v>Promoters</v>
      </c>
    </row>
    <row r="834" spans="1:16" ht="14.25" customHeight="1" x14ac:dyDescent="0.3">
      <c r="A834" s="42" t="s">
        <v>860</v>
      </c>
      <c r="B834" s="2" t="s">
        <v>21</v>
      </c>
      <c r="C834" s="2" t="s">
        <v>30</v>
      </c>
      <c r="D834" s="3">
        <v>45961</v>
      </c>
      <c r="E834" s="3">
        <v>45966</v>
      </c>
      <c r="F834" s="3">
        <v>45971</v>
      </c>
      <c r="G834" s="3">
        <v>45975</v>
      </c>
      <c r="H834" s="23" t="str">
        <f t="shared" si="12"/>
        <v>Delivered</v>
      </c>
      <c r="I834" s="2" t="s">
        <v>17</v>
      </c>
      <c r="J834" s="24" t="s">
        <v>1054</v>
      </c>
      <c r="K834" s="3">
        <v>45998</v>
      </c>
      <c r="L834" s="2">
        <v>5</v>
      </c>
      <c r="M834" s="2">
        <v>5</v>
      </c>
      <c r="N834" s="2">
        <v>4</v>
      </c>
      <c r="O834" s="36">
        <v>9</v>
      </c>
      <c r="P834" s="24" t="str" cm="1">
        <f t="array" ref="P834">_xlfn.IFS(O834&lt;=6,"Detractors",AND(O834&gt;=7,O834&lt;=8),"Passives",AND(O834&gt;8,O834&lt;=10),"Promoters",O834="Not Available","NA")</f>
        <v>Promoters</v>
      </c>
    </row>
    <row r="835" spans="1:16" ht="14.25" customHeight="1" x14ac:dyDescent="0.3">
      <c r="A835" s="2" t="s">
        <v>861</v>
      </c>
      <c r="B835" s="2" t="s">
        <v>19</v>
      </c>
      <c r="C835" s="2" t="s">
        <v>16</v>
      </c>
      <c r="D835" s="3">
        <v>45961</v>
      </c>
      <c r="E835" s="3">
        <v>45965</v>
      </c>
      <c r="F835" s="3">
        <v>45967</v>
      </c>
      <c r="G835" s="3">
        <v>45971</v>
      </c>
      <c r="H835" s="23" t="str">
        <f t="shared" ref="H835:H898" si="13">IF(G835="", "Not Delivered", "Delivered")</f>
        <v>Delivered</v>
      </c>
      <c r="I835" s="2" t="s">
        <v>17</v>
      </c>
      <c r="J835" s="24" t="s">
        <v>1054</v>
      </c>
      <c r="K835" s="3">
        <v>45995</v>
      </c>
      <c r="L835" s="2">
        <v>4</v>
      </c>
      <c r="M835" s="2">
        <v>2</v>
      </c>
      <c r="N835" s="2">
        <v>4</v>
      </c>
      <c r="O835" s="36">
        <v>6</v>
      </c>
      <c r="P835" s="24" t="str" cm="1">
        <f t="array" ref="P835">_xlfn.IFS(O835&lt;=6,"Detractors",AND(O835&gt;=7,O835&lt;=8),"Passives",AND(O835&gt;8,O835&lt;=10),"Promoters",O835="Not Available","NA")</f>
        <v>Detractors</v>
      </c>
    </row>
    <row r="836" spans="1:16" ht="14.25" customHeight="1" x14ac:dyDescent="0.3">
      <c r="A836" s="42" t="s">
        <v>862</v>
      </c>
      <c r="B836" s="2" t="s">
        <v>21</v>
      </c>
      <c r="C836" s="2" t="s">
        <v>30</v>
      </c>
      <c r="D836" s="3">
        <v>45939</v>
      </c>
      <c r="E836" s="3">
        <v>45944</v>
      </c>
      <c r="F836" s="3">
        <v>45948</v>
      </c>
      <c r="G836" s="3">
        <v>45951</v>
      </c>
      <c r="H836" s="23" t="str">
        <f t="shared" si="13"/>
        <v>Delivered</v>
      </c>
      <c r="I836" s="2" t="s">
        <v>17</v>
      </c>
      <c r="J836" s="24" t="s">
        <v>1054</v>
      </c>
      <c r="K836" s="3">
        <v>45973</v>
      </c>
      <c r="L836" s="2">
        <v>5</v>
      </c>
      <c r="M836" s="2">
        <v>4</v>
      </c>
      <c r="N836" s="2">
        <v>3</v>
      </c>
      <c r="O836" s="36">
        <v>8</v>
      </c>
      <c r="P836" s="24" t="str" cm="1">
        <f t="array" ref="P836">_xlfn.IFS(O836&lt;=6,"Detractors",AND(O836&gt;=7,O836&lt;=8),"Passives",AND(O836&gt;8,O836&lt;=10),"Promoters",O836="Not Available","NA")</f>
        <v>Passives</v>
      </c>
    </row>
    <row r="837" spans="1:16" ht="14.25" customHeight="1" x14ac:dyDescent="0.3">
      <c r="A837" s="2" t="s">
        <v>863</v>
      </c>
      <c r="B837" s="2" t="s">
        <v>32</v>
      </c>
      <c r="C837" s="2" t="s">
        <v>16</v>
      </c>
      <c r="D837" s="3">
        <v>45932</v>
      </c>
      <c r="E837" s="3">
        <v>45933</v>
      </c>
      <c r="F837" s="3">
        <v>45934</v>
      </c>
      <c r="G837" s="3">
        <v>45936</v>
      </c>
      <c r="H837" s="23" t="str">
        <f t="shared" si="13"/>
        <v>Delivered</v>
      </c>
      <c r="I837" s="2" t="s">
        <v>23</v>
      </c>
      <c r="J837" s="2" t="s">
        <v>33</v>
      </c>
      <c r="L837" s="2">
        <v>1</v>
      </c>
      <c r="M837" s="2">
        <v>1</v>
      </c>
      <c r="N837" s="2">
        <v>2</v>
      </c>
      <c r="O837" t="s">
        <v>1080</v>
      </c>
      <c r="P837" s="24" t="str" cm="1">
        <f t="array" ref="P837">_xlfn.IFS(O837&lt;=6,"Detractors",AND(O837&gt;=7,O837&lt;=8),"Passives",AND(O837&gt;8,O837&lt;=10),"Promoters",O837="Not Available","NA")</f>
        <v>NA</v>
      </c>
    </row>
    <row r="838" spans="1:16" ht="14.25" customHeight="1" x14ac:dyDescent="0.3">
      <c r="A838" s="2" t="s">
        <v>864</v>
      </c>
      <c r="B838" s="2" t="s">
        <v>32</v>
      </c>
      <c r="C838" s="2" t="s">
        <v>16</v>
      </c>
      <c r="D838" s="3">
        <v>45953</v>
      </c>
      <c r="E838" s="3">
        <v>45957</v>
      </c>
      <c r="F838" s="3">
        <v>45959</v>
      </c>
      <c r="G838" s="3">
        <v>45964</v>
      </c>
      <c r="H838" s="23" t="str">
        <f t="shared" si="13"/>
        <v>Delivered</v>
      </c>
      <c r="I838" s="2" t="s">
        <v>17</v>
      </c>
      <c r="J838" s="24" t="s">
        <v>1054</v>
      </c>
      <c r="K838" s="3">
        <v>45977</v>
      </c>
      <c r="L838" s="2">
        <v>4</v>
      </c>
      <c r="M838" s="2">
        <v>2</v>
      </c>
      <c r="N838" s="2">
        <v>5</v>
      </c>
      <c r="O838" s="36">
        <v>2</v>
      </c>
      <c r="P838" s="24" t="str" cm="1">
        <f t="array" ref="P838">_xlfn.IFS(O838&lt;=6,"Detractors",AND(O838&gt;=7,O838&lt;=8),"Passives",AND(O838&gt;8,O838&lt;=10),"Promoters",O838="Not Available","NA")</f>
        <v>Detractors</v>
      </c>
    </row>
    <row r="839" spans="1:16" ht="14.25" customHeight="1" x14ac:dyDescent="0.3">
      <c r="A839" s="2" t="s">
        <v>865</v>
      </c>
      <c r="B839" s="2" t="s">
        <v>15</v>
      </c>
      <c r="C839" s="2" t="s">
        <v>16</v>
      </c>
      <c r="D839" s="3">
        <v>45942</v>
      </c>
      <c r="E839" s="3">
        <v>45947</v>
      </c>
      <c r="F839" s="3">
        <v>45950</v>
      </c>
      <c r="G839" s="3">
        <v>45955</v>
      </c>
      <c r="H839" s="23" t="str">
        <f t="shared" si="13"/>
        <v>Delivered</v>
      </c>
      <c r="I839" s="2" t="s">
        <v>17</v>
      </c>
      <c r="J839" s="24" t="s">
        <v>1054</v>
      </c>
      <c r="K839" s="3">
        <v>45982</v>
      </c>
      <c r="L839" s="2">
        <v>5</v>
      </c>
      <c r="M839" s="2">
        <v>3</v>
      </c>
      <c r="N839" s="2">
        <v>5</v>
      </c>
      <c r="O839" s="36">
        <v>6</v>
      </c>
      <c r="P839" s="24" t="str" cm="1">
        <f t="array" ref="P839">_xlfn.IFS(O839&lt;=6,"Detractors",AND(O839&gt;=7,O839&lt;=8),"Passives",AND(O839&gt;8,O839&lt;=10),"Promoters",O839="Not Available","NA")</f>
        <v>Detractors</v>
      </c>
    </row>
    <row r="840" spans="1:16" ht="14.25" customHeight="1" x14ac:dyDescent="0.3">
      <c r="A840" s="42" t="s">
        <v>866</v>
      </c>
      <c r="B840" s="2" t="s">
        <v>19</v>
      </c>
      <c r="C840" s="2" t="s">
        <v>30</v>
      </c>
      <c r="D840" s="3">
        <v>45937</v>
      </c>
      <c r="E840" s="3">
        <v>45940</v>
      </c>
      <c r="F840" s="3">
        <v>45941</v>
      </c>
      <c r="G840" s="3">
        <v>45947</v>
      </c>
      <c r="H840" s="23" t="str">
        <f t="shared" si="13"/>
        <v>Delivered</v>
      </c>
      <c r="I840" s="2" t="s">
        <v>17</v>
      </c>
      <c r="J840" s="24" t="s">
        <v>1054</v>
      </c>
      <c r="K840" s="3">
        <v>45965</v>
      </c>
      <c r="L840" s="2">
        <v>3</v>
      </c>
      <c r="M840" s="2">
        <v>1</v>
      </c>
      <c r="N840" s="2">
        <v>6</v>
      </c>
      <c r="O840" s="36">
        <v>6</v>
      </c>
      <c r="P840" s="24" t="str" cm="1">
        <f t="array" ref="P840">_xlfn.IFS(O840&lt;=6,"Detractors",AND(O840&gt;=7,O840&lt;=8),"Passives",AND(O840&gt;8,O840&lt;=10),"Promoters",O840="Not Available","NA")</f>
        <v>Detractors</v>
      </c>
    </row>
    <row r="841" spans="1:16" ht="14.25" customHeight="1" x14ac:dyDescent="0.3">
      <c r="A841" s="42" t="s">
        <v>867</v>
      </c>
      <c r="B841" s="2" t="s">
        <v>21</v>
      </c>
      <c r="C841" s="2" t="s">
        <v>30</v>
      </c>
      <c r="D841" s="3">
        <v>45945</v>
      </c>
      <c r="E841" s="3">
        <v>45948</v>
      </c>
      <c r="F841" s="3">
        <v>45952</v>
      </c>
      <c r="G841" s="3">
        <v>45959</v>
      </c>
      <c r="H841" s="23" t="str">
        <f t="shared" si="13"/>
        <v>Delivered</v>
      </c>
      <c r="I841" s="2" t="s">
        <v>17</v>
      </c>
      <c r="J841" s="24" t="s">
        <v>1054</v>
      </c>
      <c r="K841" s="3">
        <v>45984</v>
      </c>
      <c r="L841" s="2">
        <v>3</v>
      </c>
      <c r="M841" s="2">
        <v>4</v>
      </c>
      <c r="N841" s="2">
        <v>7</v>
      </c>
      <c r="O841" s="36">
        <v>9</v>
      </c>
      <c r="P841" s="24" t="str" cm="1">
        <f t="array" ref="P841">_xlfn.IFS(O841&lt;=6,"Detractors",AND(O841&gt;=7,O841&lt;=8),"Passives",AND(O841&gt;8,O841&lt;=10),"Promoters",O841="Not Available","NA")</f>
        <v>Promoters</v>
      </c>
    </row>
    <row r="842" spans="1:16" ht="14.25" customHeight="1" x14ac:dyDescent="0.3">
      <c r="A842" s="2" t="s">
        <v>868</v>
      </c>
      <c r="B842" s="2" t="s">
        <v>15</v>
      </c>
      <c r="C842" s="2" t="s">
        <v>22</v>
      </c>
      <c r="D842" s="3">
        <v>45945</v>
      </c>
      <c r="H842" s="23" t="str">
        <f t="shared" si="13"/>
        <v>Not Delivered</v>
      </c>
      <c r="I842" s="2" t="s">
        <v>23</v>
      </c>
      <c r="J842" s="2" t="s">
        <v>33</v>
      </c>
      <c r="L842">
        <v>0</v>
      </c>
      <c r="M842">
        <v>0</v>
      </c>
      <c r="N842">
        <v>0</v>
      </c>
      <c r="O842" t="s">
        <v>1080</v>
      </c>
      <c r="P842" s="24" t="str" cm="1">
        <f t="array" ref="P842">_xlfn.IFS(O842&lt;=6,"Detractors",AND(O842&gt;=7,O842&lt;=8),"Passives",AND(O842&gt;8,O842&lt;=10),"Promoters",O842="Not Available","NA")</f>
        <v>NA</v>
      </c>
    </row>
    <row r="843" spans="1:16" ht="14.25" customHeight="1" x14ac:dyDescent="0.3">
      <c r="A843" s="2" t="s">
        <v>869</v>
      </c>
      <c r="B843" s="2" t="s">
        <v>19</v>
      </c>
      <c r="C843" s="2" t="s">
        <v>16</v>
      </c>
      <c r="D843" s="3">
        <v>45961</v>
      </c>
      <c r="E843" s="3">
        <v>45965</v>
      </c>
      <c r="F843" s="3">
        <v>45968</v>
      </c>
      <c r="G843" s="3">
        <v>45974</v>
      </c>
      <c r="H843" s="23" t="str">
        <f t="shared" si="13"/>
        <v>Delivered</v>
      </c>
      <c r="I843" s="2" t="s">
        <v>17</v>
      </c>
      <c r="J843" s="24" t="s">
        <v>1054</v>
      </c>
      <c r="K843" s="3">
        <v>45988</v>
      </c>
      <c r="L843" s="2">
        <v>4</v>
      </c>
      <c r="M843" s="2">
        <v>3</v>
      </c>
      <c r="N843" s="2">
        <v>6</v>
      </c>
      <c r="O843" s="36">
        <v>9</v>
      </c>
      <c r="P843" s="24" t="str" cm="1">
        <f t="array" ref="P843">_xlfn.IFS(O843&lt;=6,"Detractors",AND(O843&gt;=7,O843&lt;=8),"Passives",AND(O843&gt;8,O843&lt;=10),"Promoters",O843="Not Available","NA")</f>
        <v>Promoters</v>
      </c>
    </row>
    <row r="844" spans="1:16" ht="14.25" customHeight="1" x14ac:dyDescent="0.3">
      <c r="A844" s="2" t="s">
        <v>870</v>
      </c>
      <c r="B844" s="2" t="s">
        <v>15</v>
      </c>
      <c r="C844" s="2" t="s">
        <v>16</v>
      </c>
      <c r="D844" s="3">
        <v>45938</v>
      </c>
      <c r="E844" s="3">
        <v>45940</v>
      </c>
      <c r="F844" s="3">
        <v>45945</v>
      </c>
      <c r="G844" s="3">
        <v>45948</v>
      </c>
      <c r="H844" s="23" t="str">
        <f t="shared" si="13"/>
        <v>Delivered</v>
      </c>
      <c r="I844" s="2" t="s">
        <v>17</v>
      </c>
      <c r="J844" s="24" t="s">
        <v>1054</v>
      </c>
      <c r="K844" s="3">
        <v>45964</v>
      </c>
      <c r="L844" s="2">
        <v>2</v>
      </c>
      <c r="M844" s="2">
        <v>5</v>
      </c>
      <c r="N844" s="2">
        <v>3</v>
      </c>
      <c r="O844" s="36">
        <v>0</v>
      </c>
      <c r="P844" s="24" t="str" cm="1">
        <f t="array" ref="P844">_xlfn.IFS(O844&lt;=6,"Detractors",AND(O844&gt;=7,O844&lt;=8),"Passives",AND(O844&gt;8,O844&lt;=10),"Promoters",O844="Not Available","NA")</f>
        <v>Detractors</v>
      </c>
    </row>
    <row r="845" spans="1:16" ht="14.25" customHeight="1" x14ac:dyDescent="0.3">
      <c r="A845" s="2" t="s">
        <v>871</v>
      </c>
      <c r="B845" s="2" t="s">
        <v>32</v>
      </c>
      <c r="C845" s="2" t="s">
        <v>30</v>
      </c>
      <c r="D845" s="3">
        <v>45958</v>
      </c>
      <c r="E845" s="3">
        <v>45962</v>
      </c>
      <c r="F845" s="3">
        <v>45966</v>
      </c>
      <c r="G845" s="3">
        <v>45968</v>
      </c>
      <c r="H845" s="23" t="str">
        <f t="shared" si="13"/>
        <v>Delivered</v>
      </c>
      <c r="I845" s="2" t="s">
        <v>23</v>
      </c>
      <c r="J845" s="2" t="s">
        <v>33</v>
      </c>
      <c r="L845" s="2">
        <v>4</v>
      </c>
      <c r="M845" s="2">
        <v>4</v>
      </c>
      <c r="N845" s="2">
        <v>2</v>
      </c>
      <c r="O845" t="s">
        <v>1080</v>
      </c>
      <c r="P845" s="24" t="str" cm="1">
        <f t="array" ref="P845">_xlfn.IFS(O845&lt;=6,"Detractors",AND(O845&gt;=7,O845&lt;=8),"Passives",AND(O845&gt;8,O845&lt;=10),"Promoters",O845="Not Available","NA")</f>
        <v>NA</v>
      </c>
    </row>
    <row r="846" spans="1:16" ht="14.25" customHeight="1" x14ac:dyDescent="0.3">
      <c r="A846" s="2" t="s">
        <v>872</v>
      </c>
      <c r="B846" s="2" t="s">
        <v>19</v>
      </c>
      <c r="C846" s="2" t="s">
        <v>22</v>
      </c>
      <c r="D846" s="3">
        <v>45942</v>
      </c>
      <c r="H846" s="23" t="str">
        <f t="shared" si="13"/>
        <v>Not Delivered</v>
      </c>
      <c r="I846" s="2" t="s">
        <v>23</v>
      </c>
      <c r="J846" s="2" t="s">
        <v>26</v>
      </c>
      <c r="L846">
        <v>0</v>
      </c>
      <c r="M846">
        <v>0</v>
      </c>
      <c r="N846">
        <v>0</v>
      </c>
      <c r="O846" t="s">
        <v>1080</v>
      </c>
      <c r="P846" s="24" t="str" cm="1">
        <f t="array" ref="P846">_xlfn.IFS(O846&lt;=6,"Detractors",AND(O846&gt;=7,O846&lt;=8),"Passives",AND(O846&gt;8,O846&lt;=10),"Promoters",O846="Not Available","NA")</f>
        <v>NA</v>
      </c>
    </row>
    <row r="847" spans="1:16" ht="14.25" customHeight="1" x14ac:dyDescent="0.3">
      <c r="A847" s="2" t="s">
        <v>873</v>
      </c>
      <c r="B847" s="2" t="s">
        <v>15</v>
      </c>
      <c r="C847" s="2" t="s">
        <v>16</v>
      </c>
      <c r="D847" s="3">
        <v>45934</v>
      </c>
      <c r="E847" s="3">
        <v>45937</v>
      </c>
      <c r="F847" s="3">
        <v>45940</v>
      </c>
      <c r="G847" s="3">
        <v>45945</v>
      </c>
      <c r="H847" s="23" t="str">
        <f t="shared" si="13"/>
        <v>Delivered</v>
      </c>
      <c r="I847" s="2" t="s">
        <v>17</v>
      </c>
      <c r="J847" s="24" t="s">
        <v>1054</v>
      </c>
      <c r="K847" s="3">
        <v>45975</v>
      </c>
      <c r="L847" s="2">
        <v>3</v>
      </c>
      <c r="M847" s="2">
        <v>3</v>
      </c>
      <c r="N847" s="2">
        <v>5</v>
      </c>
      <c r="O847" s="36">
        <v>7</v>
      </c>
      <c r="P847" s="24" t="str" cm="1">
        <f t="array" ref="P847">_xlfn.IFS(O847&lt;=6,"Detractors",AND(O847&gt;=7,O847&lt;=8),"Passives",AND(O847&gt;8,O847&lt;=10),"Promoters",O847="Not Available","NA")</f>
        <v>Passives</v>
      </c>
    </row>
    <row r="848" spans="1:16" ht="14.25" customHeight="1" x14ac:dyDescent="0.3">
      <c r="A848" s="2" t="s">
        <v>874</v>
      </c>
      <c r="B848" s="2" t="s">
        <v>15</v>
      </c>
      <c r="C848" s="2" t="s">
        <v>16</v>
      </c>
      <c r="D848" s="3">
        <v>45952</v>
      </c>
      <c r="E848" s="3">
        <v>45956</v>
      </c>
      <c r="F848" s="3">
        <v>45960</v>
      </c>
      <c r="G848" s="3">
        <v>45962</v>
      </c>
      <c r="H848" s="23" t="str">
        <f t="shared" si="13"/>
        <v>Delivered</v>
      </c>
      <c r="I848" s="2" t="s">
        <v>17</v>
      </c>
      <c r="J848" s="24" t="s">
        <v>1054</v>
      </c>
      <c r="K848" s="3">
        <v>45972</v>
      </c>
      <c r="L848" s="2">
        <v>4</v>
      </c>
      <c r="M848" s="2">
        <v>4</v>
      </c>
      <c r="N848" s="2">
        <v>2</v>
      </c>
      <c r="O848" s="36">
        <v>3</v>
      </c>
      <c r="P848" s="24" t="str" cm="1">
        <f t="array" ref="P848">_xlfn.IFS(O848&lt;=6,"Detractors",AND(O848&gt;=7,O848&lt;=8),"Passives",AND(O848&gt;8,O848&lt;=10),"Promoters",O848="Not Available","NA")</f>
        <v>Detractors</v>
      </c>
    </row>
    <row r="849" spans="1:16" ht="14.25" customHeight="1" x14ac:dyDescent="0.3">
      <c r="A849" s="2" t="s">
        <v>875</v>
      </c>
      <c r="B849" s="2" t="s">
        <v>21</v>
      </c>
      <c r="C849" s="2" t="s">
        <v>22</v>
      </c>
      <c r="D849" s="3">
        <v>45942</v>
      </c>
      <c r="H849" s="23" t="str">
        <f t="shared" si="13"/>
        <v>Not Delivered</v>
      </c>
      <c r="I849" s="2" t="s">
        <v>23</v>
      </c>
      <c r="J849" s="2" t="s">
        <v>63</v>
      </c>
      <c r="L849">
        <v>0</v>
      </c>
      <c r="M849">
        <v>0</v>
      </c>
      <c r="N849">
        <v>0</v>
      </c>
      <c r="O849" t="s">
        <v>1080</v>
      </c>
      <c r="P849" s="24" t="str" cm="1">
        <f t="array" ref="P849">_xlfn.IFS(O849&lt;=6,"Detractors",AND(O849&gt;=7,O849&lt;=8),"Passives",AND(O849&gt;8,O849&lt;=10),"Promoters",O849="Not Available","NA")</f>
        <v>NA</v>
      </c>
    </row>
    <row r="850" spans="1:16" ht="14.25" customHeight="1" x14ac:dyDescent="0.3">
      <c r="A850" s="42" t="s">
        <v>876</v>
      </c>
      <c r="B850" s="2" t="s">
        <v>15</v>
      </c>
      <c r="C850" s="2" t="s">
        <v>30</v>
      </c>
      <c r="D850" s="3">
        <v>45948</v>
      </c>
      <c r="E850" s="3">
        <v>45949</v>
      </c>
      <c r="F850" s="3">
        <v>45952</v>
      </c>
      <c r="G850" s="3">
        <v>45955</v>
      </c>
      <c r="H850" s="23" t="str">
        <f t="shared" si="13"/>
        <v>Delivered</v>
      </c>
      <c r="I850" s="2" t="s">
        <v>17</v>
      </c>
      <c r="J850" s="24" t="s">
        <v>1054</v>
      </c>
      <c r="K850" s="3">
        <v>45974</v>
      </c>
      <c r="L850" s="2">
        <v>1</v>
      </c>
      <c r="M850" s="2">
        <v>3</v>
      </c>
      <c r="N850" s="2">
        <v>3</v>
      </c>
      <c r="O850" s="36">
        <v>5</v>
      </c>
      <c r="P850" s="24" t="str" cm="1">
        <f t="array" ref="P850">_xlfn.IFS(O850&lt;=6,"Detractors",AND(O850&gt;=7,O850&lt;=8),"Passives",AND(O850&gt;8,O850&lt;=10),"Promoters",O850="Not Available","NA")</f>
        <v>Detractors</v>
      </c>
    </row>
    <row r="851" spans="1:16" ht="14.25" customHeight="1" x14ac:dyDescent="0.3">
      <c r="A851" s="2" t="s">
        <v>877</v>
      </c>
      <c r="B851" s="2" t="s">
        <v>19</v>
      </c>
      <c r="C851" s="2" t="s">
        <v>16</v>
      </c>
      <c r="D851" s="3">
        <v>45959</v>
      </c>
      <c r="E851" s="3">
        <v>45960</v>
      </c>
      <c r="F851" s="3">
        <v>45964</v>
      </c>
      <c r="G851" s="3">
        <v>45966</v>
      </c>
      <c r="H851" s="23" t="str">
        <f t="shared" si="13"/>
        <v>Delivered</v>
      </c>
      <c r="I851" s="2" t="s">
        <v>17</v>
      </c>
      <c r="J851" s="24" t="s">
        <v>1054</v>
      </c>
      <c r="K851" s="3">
        <v>45989</v>
      </c>
      <c r="L851" s="2">
        <v>1</v>
      </c>
      <c r="M851" s="2">
        <v>4</v>
      </c>
      <c r="N851" s="2">
        <v>2</v>
      </c>
      <c r="O851" s="36">
        <v>6</v>
      </c>
      <c r="P851" s="24" t="str" cm="1">
        <f t="array" ref="P851">_xlfn.IFS(O851&lt;=6,"Detractors",AND(O851&gt;=7,O851&lt;=8),"Passives",AND(O851&gt;8,O851&lt;=10),"Promoters",O851="Not Available","NA")</f>
        <v>Detractors</v>
      </c>
    </row>
    <row r="852" spans="1:16" ht="14.25" customHeight="1" x14ac:dyDescent="0.3">
      <c r="A852" s="2" t="s">
        <v>878</v>
      </c>
      <c r="B852" s="2" t="s">
        <v>19</v>
      </c>
      <c r="C852" s="2" t="s">
        <v>16</v>
      </c>
      <c r="D852" s="3">
        <v>45951</v>
      </c>
      <c r="E852" s="3">
        <v>45953</v>
      </c>
      <c r="F852" s="3">
        <v>45958</v>
      </c>
      <c r="G852" s="3">
        <v>45960</v>
      </c>
      <c r="H852" s="23" t="str">
        <f t="shared" si="13"/>
        <v>Delivered</v>
      </c>
      <c r="I852" s="2" t="s">
        <v>17</v>
      </c>
      <c r="J852" s="24" t="s">
        <v>1054</v>
      </c>
      <c r="K852" s="3">
        <v>45973</v>
      </c>
      <c r="L852" s="2">
        <v>2</v>
      </c>
      <c r="M852" s="2">
        <v>5</v>
      </c>
      <c r="N852" s="2">
        <v>2</v>
      </c>
      <c r="O852" s="36">
        <v>4</v>
      </c>
      <c r="P852" s="24" t="str" cm="1">
        <f t="array" ref="P852">_xlfn.IFS(O852&lt;=6,"Detractors",AND(O852&gt;=7,O852&lt;=8),"Passives",AND(O852&gt;8,O852&lt;=10),"Promoters",O852="Not Available","NA")</f>
        <v>Detractors</v>
      </c>
    </row>
    <row r="853" spans="1:16" ht="14.25" customHeight="1" x14ac:dyDescent="0.3">
      <c r="A853" s="42" t="s">
        <v>879</v>
      </c>
      <c r="B853" s="2" t="s">
        <v>21</v>
      </c>
      <c r="C853" s="2" t="s">
        <v>30</v>
      </c>
      <c r="D853" s="3">
        <v>45942</v>
      </c>
      <c r="E853" s="3">
        <v>45946</v>
      </c>
      <c r="F853" s="3">
        <v>45948</v>
      </c>
      <c r="G853" s="3">
        <v>45950</v>
      </c>
      <c r="H853" s="23" t="str">
        <f t="shared" si="13"/>
        <v>Delivered</v>
      </c>
      <c r="I853" s="2" t="s">
        <v>17</v>
      </c>
      <c r="J853" s="24" t="s">
        <v>1054</v>
      </c>
      <c r="K853" s="3">
        <v>45976</v>
      </c>
      <c r="L853" s="2">
        <v>4</v>
      </c>
      <c r="M853" s="2">
        <v>2</v>
      </c>
      <c r="N853" s="2">
        <v>2</v>
      </c>
      <c r="O853" s="36">
        <v>9</v>
      </c>
      <c r="P853" s="24" t="str" cm="1">
        <f t="array" ref="P853">_xlfn.IFS(O853&lt;=6,"Detractors",AND(O853&gt;=7,O853&lt;=8),"Passives",AND(O853&gt;8,O853&lt;=10),"Promoters",O853="Not Available","NA")</f>
        <v>Promoters</v>
      </c>
    </row>
    <row r="854" spans="1:16" ht="14.25" customHeight="1" x14ac:dyDescent="0.3">
      <c r="A854" s="2" t="s">
        <v>880</v>
      </c>
      <c r="B854" s="2" t="s">
        <v>19</v>
      </c>
      <c r="C854" s="2" t="s">
        <v>22</v>
      </c>
      <c r="D854" s="3">
        <v>45932</v>
      </c>
      <c r="H854" s="23" t="str">
        <f t="shared" si="13"/>
        <v>Not Delivered</v>
      </c>
      <c r="I854" s="2" t="s">
        <v>23</v>
      </c>
      <c r="J854" s="2" t="s">
        <v>101</v>
      </c>
      <c r="L854">
        <v>0</v>
      </c>
      <c r="M854">
        <v>0</v>
      </c>
      <c r="N854">
        <v>0</v>
      </c>
      <c r="O854" t="s">
        <v>1080</v>
      </c>
      <c r="P854" s="24" t="str" cm="1">
        <f t="array" ref="P854">_xlfn.IFS(O854&lt;=6,"Detractors",AND(O854&gt;=7,O854&lt;=8),"Passives",AND(O854&gt;8,O854&lt;=10),"Promoters",O854="Not Available","NA")</f>
        <v>NA</v>
      </c>
    </row>
    <row r="855" spans="1:16" ht="14.25" customHeight="1" x14ac:dyDescent="0.3">
      <c r="A855" s="2" t="s">
        <v>881</v>
      </c>
      <c r="B855" s="2" t="s">
        <v>32</v>
      </c>
      <c r="C855" s="2" t="s">
        <v>16</v>
      </c>
      <c r="D855" s="3">
        <v>45943</v>
      </c>
      <c r="E855" s="3">
        <v>45947</v>
      </c>
      <c r="F855" s="3">
        <v>45950</v>
      </c>
      <c r="G855" s="3">
        <v>45953</v>
      </c>
      <c r="H855" s="23" t="str">
        <f t="shared" si="13"/>
        <v>Delivered</v>
      </c>
      <c r="I855" s="2" t="s">
        <v>23</v>
      </c>
      <c r="J855" s="2" t="s">
        <v>24</v>
      </c>
      <c r="L855" s="2">
        <v>4</v>
      </c>
      <c r="M855" s="2">
        <v>3</v>
      </c>
      <c r="N855" s="2">
        <v>3</v>
      </c>
      <c r="O855" t="s">
        <v>1080</v>
      </c>
      <c r="P855" s="24" t="str" cm="1">
        <f t="array" ref="P855">_xlfn.IFS(O855&lt;=6,"Detractors",AND(O855&gt;=7,O855&lt;=8),"Passives",AND(O855&gt;8,O855&lt;=10),"Promoters",O855="Not Available","NA")</f>
        <v>NA</v>
      </c>
    </row>
    <row r="856" spans="1:16" ht="14.25" customHeight="1" x14ac:dyDescent="0.3">
      <c r="A856" s="2" t="s">
        <v>882</v>
      </c>
      <c r="B856" s="2" t="s">
        <v>19</v>
      </c>
      <c r="C856" s="2" t="s">
        <v>16</v>
      </c>
      <c r="D856" s="3">
        <v>45939</v>
      </c>
      <c r="E856" s="3">
        <v>45943</v>
      </c>
      <c r="F856" s="3">
        <v>45946</v>
      </c>
      <c r="G856" s="3">
        <v>45949</v>
      </c>
      <c r="H856" s="23" t="str">
        <f t="shared" si="13"/>
        <v>Delivered</v>
      </c>
      <c r="I856" s="2" t="s">
        <v>17</v>
      </c>
      <c r="J856" s="24" t="s">
        <v>1054</v>
      </c>
      <c r="K856" s="3">
        <v>45967</v>
      </c>
      <c r="L856" s="2">
        <v>4</v>
      </c>
      <c r="M856" s="2">
        <v>3</v>
      </c>
      <c r="N856" s="2">
        <v>3</v>
      </c>
      <c r="O856" s="36">
        <v>2</v>
      </c>
      <c r="P856" s="24" t="str" cm="1">
        <f t="array" ref="P856">_xlfn.IFS(O856&lt;=6,"Detractors",AND(O856&gt;=7,O856&lt;=8),"Passives",AND(O856&gt;8,O856&lt;=10),"Promoters",O856="Not Available","NA")</f>
        <v>Detractors</v>
      </c>
    </row>
    <row r="857" spans="1:16" ht="14.25" customHeight="1" x14ac:dyDescent="0.3">
      <c r="A857" s="42" t="s">
        <v>883</v>
      </c>
      <c r="B857" s="2" t="s">
        <v>19</v>
      </c>
      <c r="C857" s="2" t="s">
        <v>30</v>
      </c>
      <c r="D857" s="3">
        <v>45937</v>
      </c>
      <c r="E857" s="3">
        <v>45941</v>
      </c>
      <c r="F857" s="3">
        <v>45946</v>
      </c>
      <c r="G857" s="3">
        <v>45949</v>
      </c>
      <c r="H857" s="23" t="str">
        <f t="shared" si="13"/>
        <v>Delivered</v>
      </c>
      <c r="I857" s="2" t="s">
        <v>17</v>
      </c>
      <c r="J857" s="24" t="s">
        <v>1054</v>
      </c>
      <c r="K857" s="3">
        <v>45978</v>
      </c>
      <c r="L857" s="2">
        <v>4</v>
      </c>
      <c r="M857" s="2">
        <v>5</v>
      </c>
      <c r="N857" s="2">
        <v>3</v>
      </c>
      <c r="O857" s="36">
        <v>7</v>
      </c>
      <c r="P857" s="24" t="str" cm="1">
        <f t="array" ref="P857">_xlfn.IFS(O857&lt;=6,"Detractors",AND(O857&gt;=7,O857&lt;=8),"Passives",AND(O857&gt;8,O857&lt;=10),"Promoters",O857="Not Available","NA")</f>
        <v>Passives</v>
      </c>
    </row>
    <row r="858" spans="1:16" ht="14.25" customHeight="1" x14ac:dyDescent="0.3">
      <c r="A858" s="42" t="s">
        <v>884</v>
      </c>
      <c r="B858" s="2" t="s">
        <v>15</v>
      </c>
      <c r="C858" s="2" t="s">
        <v>30</v>
      </c>
      <c r="D858" s="3">
        <v>45961</v>
      </c>
      <c r="E858" s="3">
        <v>45963</v>
      </c>
      <c r="F858" s="3">
        <v>45965</v>
      </c>
      <c r="G858" s="3">
        <v>45970</v>
      </c>
      <c r="H858" s="23" t="str">
        <f t="shared" si="13"/>
        <v>Delivered</v>
      </c>
      <c r="I858" s="2" t="s">
        <v>17</v>
      </c>
      <c r="J858" s="24" t="s">
        <v>1054</v>
      </c>
      <c r="K858" s="3">
        <v>45999</v>
      </c>
      <c r="L858" s="2">
        <v>2</v>
      </c>
      <c r="M858" s="2">
        <v>2</v>
      </c>
      <c r="N858" s="2">
        <v>5</v>
      </c>
      <c r="O858" s="36">
        <v>1</v>
      </c>
      <c r="P858" s="24" t="str" cm="1">
        <f t="array" ref="P858">_xlfn.IFS(O858&lt;=6,"Detractors",AND(O858&gt;=7,O858&lt;=8),"Passives",AND(O858&gt;8,O858&lt;=10),"Promoters",O858="Not Available","NA")</f>
        <v>Detractors</v>
      </c>
    </row>
    <row r="859" spans="1:16" ht="14.25" customHeight="1" x14ac:dyDescent="0.3">
      <c r="A859" s="2" t="s">
        <v>885</v>
      </c>
      <c r="B859" s="2" t="s">
        <v>15</v>
      </c>
      <c r="C859" s="2" t="s">
        <v>16</v>
      </c>
      <c r="D859" s="3">
        <v>45934</v>
      </c>
      <c r="E859" s="3">
        <v>45937</v>
      </c>
      <c r="F859" s="3">
        <v>45941</v>
      </c>
      <c r="G859" s="3">
        <v>45945</v>
      </c>
      <c r="H859" s="23" t="str">
        <f t="shared" si="13"/>
        <v>Delivered</v>
      </c>
      <c r="I859" s="2" t="s">
        <v>17</v>
      </c>
      <c r="J859" s="24" t="s">
        <v>1054</v>
      </c>
      <c r="K859" s="3">
        <v>45959</v>
      </c>
      <c r="L859" s="2">
        <v>3</v>
      </c>
      <c r="M859" s="2">
        <v>4</v>
      </c>
      <c r="N859" s="2">
        <v>4</v>
      </c>
      <c r="O859" s="36">
        <v>3</v>
      </c>
      <c r="P859" s="24" t="str" cm="1">
        <f t="array" ref="P859">_xlfn.IFS(O859&lt;=6,"Detractors",AND(O859&gt;=7,O859&lt;=8),"Passives",AND(O859&gt;8,O859&lt;=10),"Promoters",O859="Not Available","NA")</f>
        <v>Detractors</v>
      </c>
    </row>
    <row r="860" spans="1:16" ht="14.25" customHeight="1" x14ac:dyDescent="0.3">
      <c r="A860" s="2" t="s">
        <v>886</v>
      </c>
      <c r="B860" s="2" t="s">
        <v>19</v>
      </c>
      <c r="C860" s="2" t="s">
        <v>16</v>
      </c>
      <c r="D860" s="3">
        <v>45961</v>
      </c>
      <c r="E860" s="3">
        <v>45966</v>
      </c>
      <c r="F860" s="3">
        <v>45969</v>
      </c>
      <c r="G860" s="3">
        <v>45976</v>
      </c>
      <c r="H860" s="23" t="str">
        <f t="shared" si="13"/>
        <v>Delivered</v>
      </c>
      <c r="I860" s="2" t="s">
        <v>17</v>
      </c>
      <c r="J860" s="24" t="s">
        <v>1054</v>
      </c>
      <c r="K860" s="3">
        <v>45999</v>
      </c>
      <c r="L860" s="2">
        <v>5</v>
      </c>
      <c r="M860" s="2">
        <v>3</v>
      </c>
      <c r="N860" s="2">
        <v>7</v>
      </c>
      <c r="O860" s="36">
        <v>7</v>
      </c>
      <c r="P860" s="24" t="str" cm="1">
        <f t="array" ref="P860">_xlfn.IFS(O860&lt;=6,"Detractors",AND(O860&gt;=7,O860&lt;=8),"Passives",AND(O860&gt;8,O860&lt;=10),"Promoters",O860="Not Available","NA")</f>
        <v>Passives</v>
      </c>
    </row>
    <row r="861" spans="1:16" ht="14.25" customHeight="1" x14ac:dyDescent="0.3">
      <c r="A861" s="42" t="s">
        <v>887</v>
      </c>
      <c r="B861" s="2" t="s">
        <v>21</v>
      </c>
      <c r="C861" s="2" t="s">
        <v>30</v>
      </c>
      <c r="D861" s="3">
        <v>45958</v>
      </c>
      <c r="E861" s="3">
        <v>45960</v>
      </c>
      <c r="F861" s="3">
        <v>45962</v>
      </c>
      <c r="G861" s="3">
        <v>45969</v>
      </c>
      <c r="H861" s="23" t="str">
        <f t="shared" si="13"/>
        <v>Delivered</v>
      </c>
      <c r="I861" s="2" t="s">
        <v>17</v>
      </c>
      <c r="J861" s="24" t="s">
        <v>1054</v>
      </c>
      <c r="K861" s="3">
        <v>45982</v>
      </c>
      <c r="L861" s="2">
        <v>2</v>
      </c>
      <c r="M861" s="2">
        <v>2</v>
      </c>
      <c r="N861" s="2">
        <v>7</v>
      </c>
      <c r="O861" s="36">
        <v>4</v>
      </c>
      <c r="P861" s="24" t="str" cm="1">
        <f t="array" ref="P861">_xlfn.IFS(O861&lt;=6,"Detractors",AND(O861&gt;=7,O861&lt;=8),"Passives",AND(O861&gt;8,O861&lt;=10),"Promoters",O861="Not Available","NA")</f>
        <v>Detractors</v>
      </c>
    </row>
    <row r="862" spans="1:16" ht="14.25" customHeight="1" x14ac:dyDescent="0.3">
      <c r="A862" s="2" t="s">
        <v>888</v>
      </c>
      <c r="B862" s="2" t="s">
        <v>15</v>
      </c>
      <c r="C862" s="2" t="s">
        <v>16</v>
      </c>
      <c r="D862" s="3">
        <v>45957</v>
      </c>
      <c r="E862" s="3">
        <v>45960</v>
      </c>
      <c r="F862" s="3">
        <v>45964</v>
      </c>
      <c r="G862" s="3">
        <v>45971</v>
      </c>
      <c r="H862" s="23" t="str">
        <f t="shared" si="13"/>
        <v>Delivered</v>
      </c>
      <c r="I862" s="2" t="s">
        <v>17</v>
      </c>
      <c r="J862" s="24" t="s">
        <v>1054</v>
      </c>
      <c r="K862" s="3">
        <v>45997</v>
      </c>
      <c r="L862" s="2">
        <v>3</v>
      </c>
      <c r="M862" s="2">
        <v>4</v>
      </c>
      <c r="N862" s="2">
        <v>7</v>
      </c>
      <c r="O862" s="36">
        <v>2</v>
      </c>
      <c r="P862" s="24" t="str" cm="1">
        <f t="array" ref="P862">_xlfn.IFS(O862&lt;=6,"Detractors",AND(O862&gt;=7,O862&lt;=8),"Passives",AND(O862&gt;8,O862&lt;=10),"Promoters",O862="Not Available","NA")</f>
        <v>Detractors</v>
      </c>
    </row>
    <row r="863" spans="1:16" ht="14.25" customHeight="1" x14ac:dyDescent="0.3">
      <c r="A863" s="2" t="s">
        <v>889</v>
      </c>
      <c r="B863" s="2" t="s">
        <v>21</v>
      </c>
      <c r="C863" s="2" t="s">
        <v>16</v>
      </c>
      <c r="D863" s="3">
        <v>45945</v>
      </c>
      <c r="E863" s="3">
        <v>45948</v>
      </c>
      <c r="F863" s="3">
        <v>45951</v>
      </c>
      <c r="G863" s="3">
        <v>45953</v>
      </c>
      <c r="H863" s="23" t="str">
        <f t="shared" si="13"/>
        <v>Delivered</v>
      </c>
      <c r="I863" s="2" t="s">
        <v>17</v>
      </c>
      <c r="J863" s="24" t="s">
        <v>1054</v>
      </c>
      <c r="K863" s="3">
        <v>45982</v>
      </c>
      <c r="L863" s="2">
        <v>3</v>
      </c>
      <c r="M863" s="2">
        <v>3</v>
      </c>
      <c r="N863" s="2">
        <v>2</v>
      </c>
      <c r="O863" s="36">
        <v>5</v>
      </c>
      <c r="P863" s="24" t="str" cm="1">
        <f t="array" ref="P863">_xlfn.IFS(O863&lt;=6,"Detractors",AND(O863&gt;=7,O863&lt;=8),"Passives",AND(O863&gt;8,O863&lt;=10),"Promoters",O863="Not Available","NA")</f>
        <v>Detractors</v>
      </c>
    </row>
    <row r="864" spans="1:16" ht="14.25" customHeight="1" x14ac:dyDescent="0.3">
      <c r="A864" s="2" t="s">
        <v>890</v>
      </c>
      <c r="B864" s="2" t="s">
        <v>19</v>
      </c>
      <c r="C864" s="2" t="s">
        <v>30</v>
      </c>
      <c r="D864" s="3">
        <v>45933</v>
      </c>
      <c r="E864" s="3">
        <v>45936</v>
      </c>
      <c r="F864" s="3">
        <v>45939</v>
      </c>
      <c r="G864" s="3">
        <v>45945</v>
      </c>
      <c r="H864" s="23" t="str">
        <f t="shared" si="13"/>
        <v>Delivered</v>
      </c>
      <c r="I864" s="2" t="s">
        <v>23</v>
      </c>
      <c r="J864" s="2" t="s">
        <v>63</v>
      </c>
      <c r="L864" s="2">
        <v>3</v>
      </c>
      <c r="M864" s="2">
        <v>3</v>
      </c>
      <c r="N864" s="2">
        <v>6</v>
      </c>
      <c r="O864" t="s">
        <v>1080</v>
      </c>
      <c r="P864" s="24" t="str" cm="1">
        <f t="array" ref="P864">_xlfn.IFS(O864&lt;=6,"Detractors",AND(O864&gt;=7,O864&lt;=8),"Passives",AND(O864&gt;8,O864&lt;=10),"Promoters",O864="Not Available","NA")</f>
        <v>NA</v>
      </c>
    </row>
    <row r="865" spans="1:16" ht="14.25" customHeight="1" x14ac:dyDescent="0.3">
      <c r="A865" s="2" t="s">
        <v>891</v>
      </c>
      <c r="B865" s="2" t="s">
        <v>19</v>
      </c>
      <c r="C865" s="2" t="s">
        <v>16</v>
      </c>
      <c r="D865" s="3">
        <v>45952</v>
      </c>
      <c r="E865" s="3">
        <v>45956</v>
      </c>
      <c r="F865" s="3">
        <v>45960</v>
      </c>
      <c r="G865" s="3">
        <v>45966</v>
      </c>
      <c r="H865" s="23" t="str">
        <f t="shared" si="13"/>
        <v>Delivered</v>
      </c>
      <c r="I865" s="2" t="s">
        <v>17</v>
      </c>
      <c r="J865" s="24" t="s">
        <v>1054</v>
      </c>
      <c r="K865" s="3">
        <v>45979</v>
      </c>
      <c r="L865" s="2">
        <v>4</v>
      </c>
      <c r="M865" s="2">
        <v>4</v>
      </c>
      <c r="N865" s="2">
        <v>6</v>
      </c>
      <c r="O865" s="36">
        <v>9</v>
      </c>
      <c r="P865" s="24" t="str" cm="1">
        <f t="array" ref="P865">_xlfn.IFS(O865&lt;=6,"Detractors",AND(O865&gt;=7,O865&lt;=8),"Passives",AND(O865&gt;8,O865&lt;=10),"Promoters",O865="Not Available","NA")</f>
        <v>Promoters</v>
      </c>
    </row>
    <row r="866" spans="1:16" ht="14.25" customHeight="1" x14ac:dyDescent="0.3">
      <c r="A866" s="42" t="s">
        <v>892</v>
      </c>
      <c r="B866" s="2" t="s">
        <v>32</v>
      </c>
      <c r="C866" s="2" t="s">
        <v>30</v>
      </c>
      <c r="D866" s="3">
        <v>45937</v>
      </c>
      <c r="E866" s="3">
        <v>45939</v>
      </c>
      <c r="F866" s="3">
        <v>45944</v>
      </c>
      <c r="G866" s="3">
        <v>45948</v>
      </c>
      <c r="H866" s="23" t="str">
        <f t="shared" si="13"/>
        <v>Delivered</v>
      </c>
      <c r="I866" s="2" t="s">
        <v>17</v>
      </c>
      <c r="J866" s="24" t="s">
        <v>1054</v>
      </c>
      <c r="K866" s="3">
        <v>45967</v>
      </c>
      <c r="L866" s="2">
        <v>2</v>
      </c>
      <c r="M866" s="2">
        <v>5</v>
      </c>
      <c r="N866" s="2">
        <v>4</v>
      </c>
      <c r="O866" s="36">
        <v>4</v>
      </c>
      <c r="P866" s="24" t="str" cm="1">
        <f t="array" ref="P866">_xlfn.IFS(O866&lt;=6,"Detractors",AND(O866&gt;=7,O866&lt;=8),"Passives",AND(O866&gt;8,O866&lt;=10),"Promoters",O866="Not Available","NA")</f>
        <v>Detractors</v>
      </c>
    </row>
    <row r="867" spans="1:16" ht="14.25" customHeight="1" x14ac:dyDescent="0.3">
      <c r="A867" s="2" t="s">
        <v>893</v>
      </c>
      <c r="B867" s="2" t="s">
        <v>15</v>
      </c>
      <c r="C867" s="2" t="s">
        <v>22</v>
      </c>
      <c r="D867" s="3">
        <v>45951</v>
      </c>
      <c r="H867" s="23" t="str">
        <f t="shared" si="13"/>
        <v>Not Delivered</v>
      </c>
      <c r="I867" s="2" t="s">
        <v>23</v>
      </c>
      <c r="J867" s="2" t="s">
        <v>26</v>
      </c>
      <c r="L867">
        <v>0</v>
      </c>
      <c r="M867">
        <v>0</v>
      </c>
      <c r="N867">
        <v>0</v>
      </c>
      <c r="O867" t="s">
        <v>1080</v>
      </c>
      <c r="P867" s="24" t="str" cm="1">
        <f t="array" ref="P867">_xlfn.IFS(O867&lt;=6,"Detractors",AND(O867&gt;=7,O867&lt;=8),"Passives",AND(O867&gt;8,O867&lt;=10),"Promoters",O867="Not Available","NA")</f>
        <v>NA</v>
      </c>
    </row>
    <row r="868" spans="1:16" ht="14.25" customHeight="1" x14ac:dyDescent="0.3">
      <c r="A868" s="2" t="s">
        <v>894</v>
      </c>
      <c r="B868" s="2" t="s">
        <v>19</v>
      </c>
      <c r="C868" s="2" t="s">
        <v>16</v>
      </c>
      <c r="D868" s="3">
        <v>45951</v>
      </c>
      <c r="E868" s="3">
        <v>45954</v>
      </c>
      <c r="F868" s="3">
        <v>45956</v>
      </c>
      <c r="G868" s="3">
        <v>45958</v>
      </c>
      <c r="H868" s="23" t="str">
        <f t="shared" si="13"/>
        <v>Delivered</v>
      </c>
      <c r="I868" s="2" t="s">
        <v>17</v>
      </c>
      <c r="J868" s="24" t="s">
        <v>1054</v>
      </c>
      <c r="K868" s="3">
        <v>45971</v>
      </c>
      <c r="L868" s="2">
        <v>3</v>
      </c>
      <c r="M868" s="2">
        <v>2</v>
      </c>
      <c r="N868" s="2">
        <v>2</v>
      </c>
      <c r="O868" s="36">
        <v>9</v>
      </c>
      <c r="P868" s="24" t="str" cm="1">
        <f t="array" ref="P868">_xlfn.IFS(O868&lt;=6,"Detractors",AND(O868&gt;=7,O868&lt;=8),"Passives",AND(O868&gt;8,O868&lt;=10),"Promoters",O868="Not Available","NA")</f>
        <v>Promoters</v>
      </c>
    </row>
    <row r="869" spans="1:16" ht="14.25" customHeight="1" x14ac:dyDescent="0.3">
      <c r="A869" s="42" t="s">
        <v>895</v>
      </c>
      <c r="B869" s="2" t="s">
        <v>32</v>
      </c>
      <c r="C869" s="2" t="s">
        <v>30</v>
      </c>
      <c r="D869" s="3">
        <v>45950</v>
      </c>
      <c r="E869" s="3">
        <v>45955</v>
      </c>
      <c r="F869" s="3">
        <v>45958</v>
      </c>
      <c r="G869" s="3">
        <v>45960</v>
      </c>
      <c r="H869" s="23" t="str">
        <f t="shared" si="13"/>
        <v>Delivered</v>
      </c>
      <c r="I869" s="2" t="s">
        <v>17</v>
      </c>
      <c r="J869" s="24" t="s">
        <v>1054</v>
      </c>
      <c r="K869" s="3">
        <v>45973</v>
      </c>
      <c r="L869" s="2">
        <v>5</v>
      </c>
      <c r="M869" s="2">
        <v>3</v>
      </c>
      <c r="N869" s="2">
        <v>2</v>
      </c>
      <c r="O869" s="36">
        <v>9</v>
      </c>
      <c r="P869" s="24" t="str" cm="1">
        <f t="array" ref="P869">_xlfn.IFS(O869&lt;=6,"Detractors",AND(O869&gt;=7,O869&lt;=8),"Passives",AND(O869&gt;8,O869&lt;=10),"Promoters",O869="Not Available","NA")</f>
        <v>Promoters</v>
      </c>
    </row>
    <row r="870" spans="1:16" ht="14.25" customHeight="1" x14ac:dyDescent="0.3">
      <c r="A870" s="2" t="s">
        <v>896</v>
      </c>
      <c r="B870" s="2" t="s">
        <v>15</v>
      </c>
      <c r="C870" s="2" t="s">
        <v>16</v>
      </c>
      <c r="D870" s="3">
        <v>45931</v>
      </c>
      <c r="E870" s="3">
        <v>45936</v>
      </c>
      <c r="F870" s="3">
        <v>45940</v>
      </c>
      <c r="G870" s="3">
        <v>45942</v>
      </c>
      <c r="H870" s="23" t="str">
        <f t="shared" si="13"/>
        <v>Delivered</v>
      </c>
      <c r="I870" s="2" t="s">
        <v>17</v>
      </c>
      <c r="J870" s="24" t="s">
        <v>1054</v>
      </c>
      <c r="K870" s="3">
        <v>45967</v>
      </c>
      <c r="L870" s="2">
        <v>5</v>
      </c>
      <c r="M870" s="2">
        <v>4</v>
      </c>
      <c r="N870" s="2">
        <v>2</v>
      </c>
      <c r="O870" s="36">
        <v>5</v>
      </c>
      <c r="P870" s="24" t="str" cm="1">
        <f t="array" ref="P870">_xlfn.IFS(O870&lt;=6,"Detractors",AND(O870&gt;=7,O870&lt;=8),"Passives",AND(O870&gt;8,O870&lt;=10),"Promoters",O870="Not Available","NA")</f>
        <v>Detractors</v>
      </c>
    </row>
    <row r="871" spans="1:16" ht="14.25" customHeight="1" x14ac:dyDescent="0.3">
      <c r="A871" s="2" t="s">
        <v>897</v>
      </c>
      <c r="B871" s="2" t="s">
        <v>19</v>
      </c>
      <c r="C871" s="2" t="s">
        <v>16</v>
      </c>
      <c r="D871" s="3">
        <v>45932</v>
      </c>
      <c r="E871" s="3">
        <v>45933</v>
      </c>
      <c r="F871" s="3">
        <v>45936</v>
      </c>
      <c r="G871" s="3">
        <v>45939</v>
      </c>
      <c r="H871" s="23" t="str">
        <f t="shared" si="13"/>
        <v>Delivered</v>
      </c>
      <c r="I871" s="2" t="s">
        <v>17</v>
      </c>
      <c r="J871" s="24" t="s">
        <v>1054</v>
      </c>
      <c r="K871" s="3">
        <v>45955</v>
      </c>
      <c r="L871" s="2">
        <v>1</v>
      </c>
      <c r="M871" s="2">
        <v>3</v>
      </c>
      <c r="N871" s="2">
        <v>3</v>
      </c>
      <c r="O871" s="36">
        <v>1</v>
      </c>
      <c r="P871" s="24" t="str" cm="1">
        <f t="array" ref="P871">_xlfn.IFS(O871&lt;=6,"Detractors",AND(O871&gt;=7,O871&lt;=8),"Passives",AND(O871&gt;8,O871&lt;=10),"Promoters",O871="Not Available","NA")</f>
        <v>Detractors</v>
      </c>
    </row>
    <row r="872" spans="1:16" ht="14.25" customHeight="1" x14ac:dyDescent="0.3">
      <c r="A872" s="2" t="s">
        <v>898</v>
      </c>
      <c r="B872" s="2" t="s">
        <v>19</v>
      </c>
      <c r="C872" s="2" t="s">
        <v>16</v>
      </c>
      <c r="D872" s="3">
        <v>45956</v>
      </c>
      <c r="E872" s="3">
        <v>45959</v>
      </c>
      <c r="F872" s="3">
        <v>45963</v>
      </c>
      <c r="G872" s="3">
        <v>45970</v>
      </c>
      <c r="H872" s="23" t="str">
        <f t="shared" si="13"/>
        <v>Delivered</v>
      </c>
      <c r="I872" s="2" t="s">
        <v>17</v>
      </c>
      <c r="J872" s="24" t="s">
        <v>1054</v>
      </c>
      <c r="K872" s="3">
        <v>45999</v>
      </c>
      <c r="L872" s="2">
        <v>3</v>
      </c>
      <c r="M872" s="2">
        <v>4</v>
      </c>
      <c r="N872" s="2">
        <v>7</v>
      </c>
      <c r="O872" s="36">
        <v>8</v>
      </c>
      <c r="P872" s="24" t="str" cm="1">
        <f t="array" ref="P872">_xlfn.IFS(O872&lt;=6,"Detractors",AND(O872&gt;=7,O872&lt;=8),"Passives",AND(O872&gt;8,O872&lt;=10),"Promoters",O872="Not Available","NA")</f>
        <v>Passives</v>
      </c>
    </row>
    <row r="873" spans="1:16" ht="14.25" customHeight="1" x14ac:dyDescent="0.3">
      <c r="A873" s="2" t="s">
        <v>899</v>
      </c>
      <c r="B873" s="2" t="s">
        <v>15</v>
      </c>
      <c r="C873" s="2" t="s">
        <v>16</v>
      </c>
      <c r="D873" s="3">
        <v>45941</v>
      </c>
      <c r="E873" s="3">
        <v>45943</v>
      </c>
      <c r="F873" s="3">
        <v>45946</v>
      </c>
      <c r="G873" s="3">
        <v>45951</v>
      </c>
      <c r="H873" s="23" t="str">
        <f t="shared" si="13"/>
        <v>Delivered</v>
      </c>
      <c r="I873" s="2" t="s">
        <v>17</v>
      </c>
      <c r="J873" s="24" t="s">
        <v>1054</v>
      </c>
      <c r="K873" s="3">
        <v>45967</v>
      </c>
      <c r="L873" s="2">
        <v>2</v>
      </c>
      <c r="M873" s="2">
        <v>3</v>
      </c>
      <c r="N873" s="2">
        <v>5</v>
      </c>
      <c r="O873" s="36">
        <v>7</v>
      </c>
      <c r="P873" s="24" t="str" cm="1">
        <f t="array" ref="P873">_xlfn.IFS(O873&lt;=6,"Detractors",AND(O873&gt;=7,O873&lt;=8),"Passives",AND(O873&gt;8,O873&lt;=10),"Promoters",O873="Not Available","NA")</f>
        <v>Passives</v>
      </c>
    </row>
    <row r="874" spans="1:16" ht="14.25" customHeight="1" x14ac:dyDescent="0.3">
      <c r="A874" s="2" t="s">
        <v>900</v>
      </c>
      <c r="B874" s="2" t="s">
        <v>15</v>
      </c>
      <c r="C874" s="2" t="s">
        <v>16</v>
      </c>
      <c r="D874" s="3">
        <v>45938</v>
      </c>
      <c r="E874" s="3">
        <v>45942</v>
      </c>
      <c r="F874" s="3">
        <v>45943</v>
      </c>
      <c r="G874" s="3">
        <v>45946</v>
      </c>
      <c r="H874" s="23" t="str">
        <f t="shared" si="13"/>
        <v>Delivered</v>
      </c>
      <c r="I874" s="2" t="s">
        <v>17</v>
      </c>
      <c r="J874" s="24" t="s">
        <v>1054</v>
      </c>
      <c r="K874" s="3">
        <v>45964</v>
      </c>
      <c r="L874" s="2">
        <v>4</v>
      </c>
      <c r="M874" s="2">
        <v>1</v>
      </c>
      <c r="N874" s="2">
        <v>3</v>
      </c>
      <c r="O874" s="36">
        <v>5</v>
      </c>
      <c r="P874" s="24" t="str" cm="1">
        <f t="array" ref="P874">_xlfn.IFS(O874&lt;=6,"Detractors",AND(O874&gt;=7,O874&lt;=8),"Passives",AND(O874&gt;8,O874&lt;=10),"Promoters",O874="Not Available","NA")</f>
        <v>Detractors</v>
      </c>
    </row>
    <row r="875" spans="1:16" ht="14.25" customHeight="1" x14ac:dyDescent="0.3">
      <c r="A875" s="42" t="s">
        <v>901</v>
      </c>
      <c r="B875" s="2" t="s">
        <v>15</v>
      </c>
      <c r="C875" s="2" t="s">
        <v>30</v>
      </c>
      <c r="D875" s="3">
        <v>45935</v>
      </c>
      <c r="E875" s="3">
        <v>45936</v>
      </c>
      <c r="F875" s="3">
        <v>45941</v>
      </c>
      <c r="G875" s="3">
        <v>45943</v>
      </c>
      <c r="H875" s="23" t="str">
        <f t="shared" si="13"/>
        <v>Delivered</v>
      </c>
      <c r="I875" s="2" t="s">
        <v>17</v>
      </c>
      <c r="J875" s="24" t="s">
        <v>1054</v>
      </c>
      <c r="K875" s="3">
        <v>45969</v>
      </c>
      <c r="L875" s="2">
        <v>1</v>
      </c>
      <c r="M875" s="2">
        <v>5</v>
      </c>
      <c r="N875" s="2">
        <v>2</v>
      </c>
      <c r="O875" s="36">
        <v>4</v>
      </c>
      <c r="P875" s="24" t="str" cm="1">
        <f t="array" ref="P875">_xlfn.IFS(O875&lt;=6,"Detractors",AND(O875&gt;=7,O875&lt;=8),"Passives",AND(O875&gt;8,O875&lt;=10),"Promoters",O875="Not Available","NA")</f>
        <v>Detractors</v>
      </c>
    </row>
    <row r="876" spans="1:16" ht="14.25" customHeight="1" x14ac:dyDescent="0.3">
      <c r="A876" s="42" t="s">
        <v>902</v>
      </c>
      <c r="B876" s="2" t="s">
        <v>19</v>
      </c>
      <c r="C876" s="2" t="s">
        <v>30</v>
      </c>
      <c r="D876" s="3">
        <v>45956</v>
      </c>
      <c r="E876" s="3">
        <v>45959</v>
      </c>
      <c r="F876" s="3">
        <v>45961</v>
      </c>
      <c r="G876" s="3">
        <v>45965</v>
      </c>
      <c r="H876" s="23" t="str">
        <f t="shared" si="13"/>
        <v>Delivered</v>
      </c>
      <c r="I876" s="2" t="s">
        <v>17</v>
      </c>
      <c r="J876" s="24" t="s">
        <v>1054</v>
      </c>
      <c r="K876" s="3">
        <v>45981</v>
      </c>
      <c r="L876" s="2">
        <v>3</v>
      </c>
      <c r="M876" s="2">
        <v>2</v>
      </c>
      <c r="N876" s="2">
        <v>4</v>
      </c>
      <c r="O876" s="36">
        <v>3</v>
      </c>
      <c r="P876" s="24" t="str" cm="1">
        <f t="array" ref="P876">_xlfn.IFS(O876&lt;=6,"Detractors",AND(O876&gt;=7,O876&lt;=8),"Passives",AND(O876&gt;8,O876&lt;=10),"Promoters",O876="Not Available","NA")</f>
        <v>Detractors</v>
      </c>
    </row>
    <row r="877" spans="1:16" ht="14.25" customHeight="1" x14ac:dyDescent="0.3">
      <c r="A877" s="42" t="s">
        <v>903</v>
      </c>
      <c r="B877" s="2" t="s">
        <v>19</v>
      </c>
      <c r="C877" s="2" t="s">
        <v>30</v>
      </c>
      <c r="D877" s="3">
        <v>45949</v>
      </c>
      <c r="E877" s="3">
        <v>45953</v>
      </c>
      <c r="F877" s="3">
        <v>45958</v>
      </c>
      <c r="G877" s="3">
        <v>45960</v>
      </c>
      <c r="H877" s="23" t="str">
        <f t="shared" si="13"/>
        <v>Delivered</v>
      </c>
      <c r="I877" s="2" t="s">
        <v>17</v>
      </c>
      <c r="J877" s="24" t="s">
        <v>1054</v>
      </c>
      <c r="K877" s="3">
        <v>45981</v>
      </c>
      <c r="L877" s="2">
        <v>4</v>
      </c>
      <c r="M877" s="2">
        <v>5</v>
      </c>
      <c r="N877" s="2">
        <v>2</v>
      </c>
      <c r="O877" s="36">
        <v>6</v>
      </c>
      <c r="P877" s="24" t="str" cm="1">
        <f t="array" ref="P877">_xlfn.IFS(O877&lt;=6,"Detractors",AND(O877&gt;=7,O877&lt;=8),"Passives",AND(O877&gt;8,O877&lt;=10),"Promoters",O877="Not Available","NA")</f>
        <v>Detractors</v>
      </c>
    </row>
    <row r="878" spans="1:16" ht="14.25" customHeight="1" x14ac:dyDescent="0.3">
      <c r="A878" s="2" t="s">
        <v>904</v>
      </c>
      <c r="B878" s="2" t="s">
        <v>32</v>
      </c>
      <c r="C878" s="2" t="s">
        <v>16</v>
      </c>
      <c r="D878" s="3">
        <v>45937</v>
      </c>
      <c r="E878" s="3">
        <v>45939</v>
      </c>
      <c r="F878" s="3">
        <v>45944</v>
      </c>
      <c r="G878" s="3">
        <v>45946</v>
      </c>
      <c r="H878" s="23" t="str">
        <f t="shared" si="13"/>
        <v>Delivered</v>
      </c>
      <c r="I878" s="2" t="s">
        <v>17</v>
      </c>
      <c r="J878" s="24" t="s">
        <v>1054</v>
      </c>
      <c r="K878" s="3">
        <v>45969</v>
      </c>
      <c r="L878" s="2">
        <v>2</v>
      </c>
      <c r="M878" s="2">
        <v>5</v>
      </c>
      <c r="N878" s="2">
        <v>2</v>
      </c>
      <c r="O878" s="36">
        <v>2</v>
      </c>
      <c r="P878" s="24" t="str" cm="1">
        <f t="array" ref="P878">_xlfn.IFS(O878&lt;=6,"Detractors",AND(O878&gt;=7,O878&lt;=8),"Passives",AND(O878&gt;8,O878&lt;=10),"Promoters",O878="Not Available","NA")</f>
        <v>Detractors</v>
      </c>
    </row>
    <row r="879" spans="1:16" ht="14.25" customHeight="1" x14ac:dyDescent="0.3">
      <c r="A879" s="2" t="s">
        <v>905</v>
      </c>
      <c r="B879" s="2" t="s">
        <v>21</v>
      </c>
      <c r="C879" s="2" t="s">
        <v>22</v>
      </c>
      <c r="D879" s="3">
        <v>45933</v>
      </c>
      <c r="H879" s="23" t="str">
        <f t="shared" si="13"/>
        <v>Not Delivered</v>
      </c>
      <c r="I879" s="2" t="s">
        <v>23</v>
      </c>
      <c r="J879" s="2" t="s">
        <v>63</v>
      </c>
      <c r="L879">
        <v>0</v>
      </c>
      <c r="M879">
        <v>0</v>
      </c>
      <c r="N879">
        <v>0</v>
      </c>
      <c r="O879" t="s">
        <v>1080</v>
      </c>
      <c r="P879" s="24" t="str" cm="1">
        <f t="array" ref="P879">_xlfn.IFS(O879&lt;=6,"Detractors",AND(O879&gt;=7,O879&lt;=8),"Passives",AND(O879&gt;8,O879&lt;=10),"Promoters",O879="Not Available","NA")</f>
        <v>NA</v>
      </c>
    </row>
    <row r="880" spans="1:16" ht="14.25" customHeight="1" x14ac:dyDescent="0.3">
      <c r="A880" s="2" t="s">
        <v>906</v>
      </c>
      <c r="B880" s="2" t="s">
        <v>15</v>
      </c>
      <c r="C880" s="2" t="s">
        <v>16</v>
      </c>
      <c r="D880" s="3">
        <v>45957</v>
      </c>
      <c r="E880" s="3">
        <v>45959</v>
      </c>
      <c r="F880" s="3">
        <v>45961</v>
      </c>
      <c r="G880" s="3">
        <v>45966</v>
      </c>
      <c r="H880" s="23" t="str">
        <f t="shared" si="13"/>
        <v>Delivered</v>
      </c>
      <c r="I880" s="2" t="s">
        <v>17</v>
      </c>
      <c r="J880" s="24" t="s">
        <v>1054</v>
      </c>
      <c r="K880" s="3">
        <v>45985</v>
      </c>
      <c r="L880" s="2">
        <v>2</v>
      </c>
      <c r="M880" s="2">
        <v>2</v>
      </c>
      <c r="N880" s="2">
        <v>5</v>
      </c>
      <c r="O880" s="36">
        <v>4</v>
      </c>
      <c r="P880" s="24" t="str" cm="1">
        <f t="array" ref="P880">_xlfn.IFS(O880&lt;=6,"Detractors",AND(O880&gt;=7,O880&lt;=8),"Passives",AND(O880&gt;8,O880&lt;=10),"Promoters",O880="Not Available","NA")</f>
        <v>Detractors</v>
      </c>
    </row>
    <row r="881" spans="1:16" ht="14.25" customHeight="1" x14ac:dyDescent="0.3">
      <c r="A881" s="42" t="s">
        <v>907</v>
      </c>
      <c r="B881" s="2" t="s">
        <v>19</v>
      </c>
      <c r="C881" s="2" t="s">
        <v>30</v>
      </c>
      <c r="D881" s="3">
        <v>45955</v>
      </c>
      <c r="E881" s="3">
        <v>45956</v>
      </c>
      <c r="F881" s="3">
        <v>45961</v>
      </c>
      <c r="G881" s="3">
        <v>45963</v>
      </c>
      <c r="H881" s="23" t="str">
        <f t="shared" si="13"/>
        <v>Delivered</v>
      </c>
      <c r="I881" s="2" t="s">
        <v>17</v>
      </c>
      <c r="J881" s="24" t="s">
        <v>1054</v>
      </c>
      <c r="K881" s="3">
        <v>45978</v>
      </c>
      <c r="L881" s="2">
        <v>1</v>
      </c>
      <c r="M881" s="2">
        <v>5</v>
      </c>
      <c r="N881" s="2">
        <v>2</v>
      </c>
      <c r="O881" s="36">
        <v>4</v>
      </c>
      <c r="P881" s="24" t="str" cm="1">
        <f t="array" ref="P881">_xlfn.IFS(O881&lt;=6,"Detractors",AND(O881&gt;=7,O881&lt;=8),"Passives",AND(O881&gt;8,O881&lt;=10),"Promoters",O881="Not Available","NA")</f>
        <v>Detractors</v>
      </c>
    </row>
    <row r="882" spans="1:16" ht="14.25" customHeight="1" x14ac:dyDescent="0.3">
      <c r="A882" s="2" t="s">
        <v>908</v>
      </c>
      <c r="B882" s="2" t="s">
        <v>19</v>
      </c>
      <c r="C882" s="2" t="s">
        <v>16</v>
      </c>
      <c r="D882" s="3">
        <v>45948</v>
      </c>
      <c r="E882" s="3">
        <v>45949</v>
      </c>
      <c r="F882" s="3">
        <v>45950</v>
      </c>
      <c r="G882" s="3">
        <v>45953</v>
      </c>
      <c r="H882" s="23" t="str">
        <f t="shared" si="13"/>
        <v>Delivered</v>
      </c>
      <c r="I882" s="2" t="s">
        <v>17</v>
      </c>
      <c r="J882" s="24" t="s">
        <v>1054</v>
      </c>
      <c r="K882" s="3">
        <v>45964</v>
      </c>
      <c r="L882" s="2">
        <v>1</v>
      </c>
      <c r="M882" s="2">
        <v>1</v>
      </c>
      <c r="N882" s="2">
        <v>3</v>
      </c>
      <c r="O882" s="36">
        <v>2</v>
      </c>
      <c r="P882" s="24" t="str" cm="1">
        <f t="array" ref="P882">_xlfn.IFS(O882&lt;=6,"Detractors",AND(O882&gt;=7,O882&lt;=8),"Passives",AND(O882&gt;8,O882&lt;=10),"Promoters",O882="Not Available","NA")</f>
        <v>Detractors</v>
      </c>
    </row>
    <row r="883" spans="1:16" ht="14.25" customHeight="1" x14ac:dyDescent="0.3">
      <c r="A883" s="2" t="s">
        <v>909</v>
      </c>
      <c r="B883" s="2" t="s">
        <v>15</v>
      </c>
      <c r="C883" s="2" t="s">
        <v>22</v>
      </c>
      <c r="D883" s="3">
        <v>45937</v>
      </c>
      <c r="H883" s="23" t="str">
        <f t="shared" si="13"/>
        <v>Not Delivered</v>
      </c>
      <c r="I883" s="2" t="s">
        <v>23</v>
      </c>
      <c r="J883" s="2" t="s">
        <v>63</v>
      </c>
      <c r="L883">
        <v>0</v>
      </c>
      <c r="M883">
        <v>0</v>
      </c>
      <c r="N883">
        <v>0</v>
      </c>
      <c r="O883" t="s">
        <v>1080</v>
      </c>
      <c r="P883" s="24" t="str" cm="1">
        <f t="array" ref="P883">_xlfn.IFS(O883&lt;=6,"Detractors",AND(O883&gt;=7,O883&lt;=8),"Passives",AND(O883&gt;8,O883&lt;=10),"Promoters",O883="Not Available","NA")</f>
        <v>NA</v>
      </c>
    </row>
    <row r="884" spans="1:16" ht="14.25" customHeight="1" x14ac:dyDescent="0.3">
      <c r="A884" s="2" t="s">
        <v>910</v>
      </c>
      <c r="B884" s="2" t="s">
        <v>21</v>
      </c>
      <c r="C884" s="2" t="s">
        <v>16</v>
      </c>
      <c r="D884" s="3">
        <v>45949</v>
      </c>
      <c r="E884" s="3">
        <v>45952</v>
      </c>
      <c r="F884" s="3">
        <v>45956</v>
      </c>
      <c r="G884" s="3">
        <v>45962</v>
      </c>
      <c r="H884" s="23" t="str">
        <f t="shared" si="13"/>
        <v>Delivered</v>
      </c>
      <c r="I884" s="2" t="s">
        <v>17</v>
      </c>
      <c r="J884" s="24" t="s">
        <v>1054</v>
      </c>
      <c r="K884" s="3">
        <v>45989</v>
      </c>
      <c r="L884" s="2">
        <v>3</v>
      </c>
      <c r="M884" s="2">
        <v>4</v>
      </c>
      <c r="N884" s="2">
        <v>6</v>
      </c>
      <c r="O884" s="36">
        <v>4</v>
      </c>
      <c r="P884" s="24" t="str" cm="1">
        <f t="array" ref="P884">_xlfn.IFS(O884&lt;=6,"Detractors",AND(O884&gt;=7,O884&lt;=8),"Passives",AND(O884&gt;8,O884&lt;=10),"Promoters",O884="Not Available","NA")</f>
        <v>Detractors</v>
      </c>
    </row>
    <row r="885" spans="1:16" ht="14.25" customHeight="1" x14ac:dyDescent="0.3">
      <c r="A885" s="2" t="s">
        <v>911</v>
      </c>
      <c r="B885" s="2" t="s">
        <v>15</v>
      </c>
      <c r="C885" s="2" t="s">
        <v>22</v>
      </c>
      <c r="D885" s="3">
        <v>45937</v>
      </c>
      <c r="H885" s="23" t="str">
        <f t="shared" si="13"/>
        <v>Not Delivered</v>
      </c>
      <c r="I885" s="2" t="s">
        <v>23</v>
      </c>
      <c r="J885" s="2" t="s">
        <v>26</v>
      </c>
      <c r="L885">
        <v>0</v>
      </c>
      <c r="M885">
        <v>0</v>
      </c>
      <c r="N885">
        <v>0</v>
      </c>
      <c r="O885" t="s">
        <v>1080</v>
      </c>
      <c r="P885" s="24" t="str" cm="1">
        <f t="array" ref="P885">_xlfn.IFS(O885&lt;=6,"Detractors",AND(O885&gt;=7,O885&lt;=8),"Passives",AND(O885&gt;8,O885&lt;=10),"Promoters",O885="Not Available","NA")</f>
        <v>NA</v>
      </c>
    </row>
    <row r="886" spans="1:16" ht="14.25" customHeight="1" x14ac:dyDescent="0.3">
      <c r="A886" s="42" t="s">
        <v>912</v>
      </c>
      <c r="B886" s="2" t="s">
        <v>21</v>
      </c>
      <c r="C886" s="2" t="s">
        <v>30</v>
      </c>
      <c r="D886" s="3">
        <v>45957</v>
      </c>
      <c r="E886" s="3">
        <v>45961</v>
      </c>
      <c r="F886" s="3">
        <v>45963</v>
      </c>
      <c r="G886" s="3">
        <v>45968</v>
      </c>
      <c r="H886" s="23" t="str">
        <f t="shared" si="13"/>
        <v>Delivered</v>
      </c>
      <c r="I886" s="2" t="s">
        <v>17</v>
      </c>
      <c r="J886" s="24" t="s">
        <v>1054</v>
      </c>
      <c r="K886" s="3">
        <v>45993</v>
      </c>
      <c r="L886" s="2">
        <v>4</v>
      </c>
      <c r="M886" s="2">
        <v>2</v>
      </c>
      <c r="N886" s="2">
        <v>5</v>
      </c>
      <c r="O886" s="36">
        <v>7</v>
      </c>
      <c r="P886" s="24" t="str" cm="1">
        <f t="array" ref="P886">_xlfn.IFS(O886&lt;=6,"Detractors",AND(O886&gt;=7,O886&lt;=8),"Passives",AND(O886&gt;8,O886&lt;=10),"Promoters",O886="Not Available","NA")</f>
        <v>Passives</v>
      </c>
    </row>
    <row r="887" spans="1:16" ht="14.25" customHeight="1" x14ac:dyDescent="0.3">
      <c r="A887" s="42" t="s">
        <v>913</v>
      </c>
      <c r="B887" s="2" t="s">
        <v>19</v>
      </c>
      <c r="C887" s="2" t="s">
        <v>30</v>
      </c>
      <c r="D887" s="3">
        <v>45958</v>
      </c>
      <c r="E887" s="3">
        <v>45963</v>
      </c>
      <c r="F887" s="3">
        <v>45967</v>
      </c>
      <c r="G887" s="3">
        <v>45974</v>
      </c>
      <c r="H887" s="23" t="str">
        <f t="shared" si="13"/>
        <v>Delivered</v>
      </c>
      <c r="I887" s="2" t="s">
        <v>17</v>
      </c>
      <c r="J887" s="24" t="s">
        <v>1054</v>
      </c>
      <c r="K887" s="3">
        <v>45990</v>
      </c>
      <c r="L887" s="2">
        <v>5</v>
      </c>
      <c r="M887" s="2">
        <v>4</v>
      </c>
      <c r="N887" s="2">
        <v>7</v>
      </c>
      <c r="O887" s="36">
        <v>3</v>
      </c>
      <c r="P887" s="24" t="str" cm="1">
        <f t="array" ref="P887">_xlfn.IFS(O887&lt;=6,"Detractors",AND(O887&gt;=7,O887&lt;=8),"Passives",AND(O887&gt;8,O887&lt;=10),"Promoters",O887="Not Available","NA")</f>
        <v>Detractors</v>
      </c>
    </row>
    <row r="888" spans="1:16" ht="14.25" customHeight="1" x14ac:dyDescent="0.3">
      <c r="A888" s="2" t="s">
        <v>914</v>
      </c>
      <c r="B888" s="2" t="s">
        <v>21</v>
      </c>
      <c r="C888" s="2" t="s">
        <v>22</v>
      </c>
      <c r="D888" s="3">
        <v>45938</v>
      </c>
      <c r="H888" s="23" t="str">
        <f t="shared" si="13"/>
        <v>Not Delivered</v>
      </c>
      <c r="I888" s="2" t="s">
        <v>23</v>
      </c>
      <c r="J888" s="2" t="s">
        <v>33</v>
      </c>
      <c r="L888">
        <v>0</v>
      </c>
      <c r="M888">
        <v>0</v>
      </c>
      <c r="N888">
        <v>0</v>
      </c>
      <c r="O888" t="s">
        <v>1080</v>
      </c>
      <c r="P888" s="24" t="str" cm="1">
        <f t="array" ref="P888">_xlfn.IFS(O888&lt;=6,"Detractors",AND(O888&gt;=7,O888&lt;=8),"Passives",AND(O888&gt;8,O888&lt;=10),"Promoters",O888="Not Available","NA")</f>
        <v>NA</v>
      </c>
    </row>
    <row r="889" spans="1:16" ht="14.25" customHeight="1" x14ac:dyDescent="0.3">
      <c r="A889" s="2" t="s">
        <v>915</v>
      </c>
      <c r="B889" s="2" t="s">
        <v>32</v>
      </c>
      <c r="C889" s="2" t="s">
        <v>16</v>
      </c>
      <c r="D889" s="3">
        <v>45941</v>
      </c>
      <c r="E889" s="3">
        <v>45945</v>
      </c>
      <c r="F889" s="3">
        <v>45948</v>
      </c>
      <c r="G889" s="3">
        <v>45953</v>
      </c>
      <c r="H889" s="23" t="str">
        <f t="shared" si="13"/>
        <v>Delivered</v>
      </c>
      <c r="I889" s="2" t="s">
        <v>17</v>
      </c>
      <c r="J889" s="24" t="s">
        <v>1054</v>
      </c>
      <c r="K889" s="3">
        <v>45978</v>
      </c>
      <c r="L889" s="2">
        <v>4</v>
      </c>
      <c r="M889" s="2">
        <v>3</v>
      </c>
      <c r="N889" s="2">
        <v>5</v>
      </c>
      <c r="O889" s="36">
        <v>7</v>
      </c>
      <c r="P889" s="24" t="str" cm="1">
        <f t="array" ref="P889">_xlfn.IFS(O889&lt;=6,"Detractors",AND(O889&gt;=7,O889&lt;=8),"Passives",AND(O889&gt;8,O889&lt;=10),"Promoters",O889="Not Available","NA")</f>
        <v>Passives</v>
      </c>
    </row>
    <row r="890" spans="1:16" ht="14.25" customHeight="1" x14ac:dyDescent="0.3">
      <c r="A890" s="2" t="s">
        <v>916</v>
      </c>
      <c r="B890" s="2" t="s">
        <v>19</v>
      </c>
      <c r="C890" s="2" t="s">
        <v>16</v>
      </c>
      <c r="D890" s="3">
        <v>45955</v>
      </c>
      <c r="E890" s="3">
        <v>45957</v>
      </c>
      <c r="F890" s="3">
        <v>45958</v>
      </c>
      <c r="G890" s="3">
        <v>45963</v>
      </c>
      <c r="H890" s="23" t="str">
        <f t="shared" si="13"/>
        <v>Delivered</v>
      </c>
      <c r="I890" s="2" t="s">
        <v>17</v>
      </c>
      <c r="J890" s="24" t="s">
        <v>1054</v>
      </c>
      <c r="K890" s="3">
        <v>45983</v>
      </c>
      <c r="L890" s="2">
        <v>2</v>
      </c>
      <c r="M890" s="2">
        <v>1</v>
      </c>
      <c r="N890" s="2">
        <v>5</v>
      </c>
      <c r="O890" s="36">
        <v>9</v>
      </c>
      <c r="P890" s="24" t="str" cm="1">
        <f t="array" ref="P890">_xlfn.IFS(O890&lt;=6,"Detractors",AND(O890&gt;=7,O890&lt;=8),"Passives",AND(O890&gt;8,O890&lt;=10),"Promoters",O890="Not Available","NA")</f>
        <v>Promoters</v>
      </c>
    </row>
    <row r="891" spans="1:16" ht="14.25" customHeight="1" x14ac:dyDescent="0.3">
      <c r="A891" s="2" t="s">
        <v>917</v>
      </c>
      <c r="B891" s="2" t="s">
        <v>32</v>
      </c>
      <c r="C891" s="2" t="s">
        <v>16</v>
      </c>
      <c r="D891" s="3">
        <v>45935</v>
      </c>
      <c r="E891" s="3">
        <v>45937</v>
      </c>
      <c r="F891" s="3">
        <v>45941</v>
      </c>
      <c r="G891" s="3">
        <v>45943</v>
      </c>
      <c r="H891" s="23" t="str">
        <f t="shared" si="13"/>
        <v>Delivered</v>
      </c>
      <c r="I891" s="2" t="s">
        <v>17</v>
      </c>
      <c r="J891" s="24" t="s">
        <v>1054</v>
      </c>
      <c r="K891" s="3">
        <v>45960</v>
      </c>
      <c r="L891" s="2">
        <v>2</v>
      </c>
      <c r="M891" s="2">
        <v>4</v>
      </c>
      <c r="N891" s="2">
        <v>2</v>
      </c>
      <c r="O891" s="36">
        <v>4</v>
      </c>
      <c r="P891" s="24" t="str" cm="1">
        <f t="array" ref="P891">_xlfn.IFS(O891&lt;=6,"Detractors",AND(O891&gt;=7,O891&lt;=8),"Passives",AND(O891&gt;8,O891&lt;=10),"Promoters",O891="Not Available","NA")</f>
        <v>Detractors</v>
      </c>
    </row>
    <row r="892" spans="1:16" ht="14.25" customHeight="1" x14ac:dyDescent="0.3">
      <c r="A892" s="2" t="s">
        <v>918</v>
      </c>
      <c r="B892" s="2" t="s">
        <v>15</v>
      </c>
      <c r="C892" s="2" t="s">
        <v>22</v>
      </c>
      <c r="D892" s="3">
        <v>45956</v>
      </c>
      <c r="H892" s="23" t="str">
        <f t="shared" si="13"/>
        <v>Not Delivered</v>
      </c>
      <c r="I892" s="2" t="s">
        <v>23</v>
      </c>
      <c r="J892" s="2" t="s">
        <v>33</v>
      </c>
      <c r="L892">
        <v>0</v>
      </c>
      <c r="M892">
        <v>0</v>
      </c>
      <c r="N892">
        <v>0</v>
      </c>
      <c r="O892" t="s">
        <v>1080</v>
      </c>
      <c r="P892" s="24" t="str" cm="1">
        <f t="array" ref="P892">_xlfn.IFS(O892&lt;=6,"Detractors",AND(O892&gt;=7,O892&lt;=8),"Passives",AND(O892&gt;8,O892&lt;=10),"Promoters",O892="Not Available","NA")</f>
        <v>NA</v>
      </c>
    </row>
    <row r="893" spans="1:16" ht="14.25" customHeight="1" x14ac:dyDescent="0.3">
      <c r="A893" s="2" t="s">
        <v>919</v>
      </c>
      <c r="B893" s="2" t="s">
        <v>15</v>
      </c>
      <c r="C893" s="2" t="s">
        <v>16</v>
      </c>
      <c r="D893" s="3">
        <v>45959</v>
      </c>
      <c r="E893" s="3">
        <v>45962</v>
      </c>
      <c r="F893" s="3">
        <v>45966</v>
      </c>
      <c r="G893" s="3">
        <v>45971</v>
      </c>
      <c r="H893" s="23" t="str">
        <f t="shared" si="13"/>
        <v>Delivered</v>
      </c>
      <c r="I893" s="2" t="s">
        <v>17</v>
      </c>
      <c r="J893" s="24" t="s">
        <v>1054</v>
      </c>
      <c r="K893" s="3">
        <v>45981</v>
      </c>
      <c r="L893" s="2">
        <v>3</v>
      </c>
      <c r="M893" s="2">
        <v>4</v>
      </c>
      <c r="N893" s="2">
        <v>5</v>
      </c>
      <c r="O893" s="36">
        <v>7</v>
      </c>
      <c r="P893" s="24" t="str" cm="1">
        <f t="array" ref="P893">_xlfn.IFS(O893&lt;=6,"Detractors",AND(O893&gt;=7,O893&lt;=8),"Passives",AND(O893&gt;8,O893&lt;=10),"Promoters",O893="Not Available","NA")</f>
        <v>Passives</v>
      </c>
    </row>
    <row r="894" spans="1:16" ht="14.25" customHeight="1" x14ac:dyDescent="0.3">
      <c r="A894" s="2" t="s">
        <v>920</v>
      </c>
      <c r="B894" s="2" t="s">
        <v>15</v>
      </c>
      <c r="C894" s="2" t="s">
        <v>16</v>
      </c>
      <c r="D894" s="3">
        <v>45950</v>
      </c>
      <c r="E894" s="3">
        <v>45955</v>
      </c>
      <c r="F894" s="3">
        <v>45957</v>
      </c>
      <c r="G894" s="3">
        <v>45964</v>
      </c>
      <c r="H894" s="23" t="str">
        <f t="shared" si="13"/>
        <v>Delivered</v>
      </c>
      <c r="I894" s="2" t="s">
        <v>17</v>
      </c>
      <c r="J894" s="24" t="s">
        <v>1054</v>
      </c>
      <c r="K894" s="3">
        <v>45974</v>
      </c>
      <c r="L894" s="2">
        <v>5</v>
      </c>
      <c r="M894" s="2">
        <v>2</v>
      </c>
      <c r="N894" s="2">
        <v>7</v>
      </c>
      <c r="O894" s="36">
        <v>7</v>
      </c>
      <c r="P894" s="24" t="str" cm="1">
        <f t="array" ref="P894">_xlfn.IFS(O894&lt;=6,"Detractors",AND(O894&gt;=7,O894&lt;=8),"Passives",AND(O894&gt;8,O894&lt;=10),"Promoters",O894="Not Available","NA")</f>
        <v>Passives</v>
      </c>
    </row>
    <row r="895" spans="1:16" ht="14.25" customHeight="1" x14ac:dyDescent="0.3">
      <c r="A895" s="2" t="s">
        <v>921</v>
      </c>
      <c r="B895" s="2" t="s">
        <v>21</v>
      </c>
      <c r="C895" s="2" t="s">
        <v>16</v>
      </c>
      <c r="D895" s="3">
        <v>45931</v>
      </c>
      <c r="E895" s="3">
        <v>45934</v>
      </c>
      <c r="F895" s="3">
        <v>45937</v>
      </c>
      <c r="G895" s="3">
        <v>45942</v>
      </c>
      <c r="H895" s="23" t="str">
        <f t="shared" si="13"/>
        <v>Delivered</v>
      </c>
      <c r="I895" s="2" t="s">
        <v>17</v>
      </c>
      <c r="J895" s="24" t="s">
        <v>1054</v>
      </c>
      <c r="K895" s="3">
        <v>45954</v>
      </c>
      <c r="L895" s="2">
        <v>3</v>
      </c>
      <c r="M895" s="2">
        <v>3</v>
      </c>
      <c r="N895" s="2">
        <v>5</v>
      </c>
      <c r="O895" s="36">
        <v>7</v>
      </c>
      <c r="P895" s="24" t="str" cm="1">
        <f t="array" ref="P895">_xlfn.IFS(O895&lt;=6,"Detractors",AND(O895&gt;=7,O895&lt;=8),"Passives",AND(O895&gt;8,O895&lt;=10),"Promoters",O895="Not Available","NA")</f>
        <v>Passives</v>
      </c>
    </row>
    <row r="896" spans="1:16" ht="14.25" customHeight="1" x14ac:dyDescent="0.3">
      <c r="A896" s="2" t="s">
        <v>922</v>
      </c>
      <c r="B896" s="2" t="s">
        <v>19</v>
      </c>
      <c r="C896" s="2" t="s">
        <v>16</v>
      </c>
      <c r="D896" s="3">
        <v>45939</v>
      </c>
      <c r="E896" s="3">
        <v>45941</v>
      </c>
      <c r="F896" s="3">
        <v>45943</v>
      </c>
      <c r="G896" s="3">
        <v>45946</v>
      </c>
      <c r="H896" s="23" t="str">
        <f t="shared" si="13"/>
        <v>Delivered</v>
      </c>
      <c r="I896" s="2" t="s">
        <v>17</v>
      </c>
      <c r="J896" s="24" t="s">
        <v>1054</v>
      </c>
      <c r="K896" s="3">
        <v>45959</v>
      </c>
      <c r="L896" s="2">
        <v>2</v>
      </c>
      <c r="M896" s="2">
        <v>2</v>
      </c>
      <c r="N896" s="2">
        <v>3</v>
      </c>
      <c r="O896" s="36">
        <v>1</v>
      </c>
      <c r="P896" s="24" t="str" cm="1">
        <f t="array" ref="P896">_xlfn.IFS(O896&lt;=6,"Detractors",AND(O896&gt;=7,O896&lt;=8),"Passives",AND(O896&gt;8,O896&lt;=10),"Promoters",O896="Not Available","NA")</f>
        <v>Detractors</v>
      </c>
    </row>
    <row r="897" spans="1:16" ht="14.25" customHeight="1" x14ac:dyDescent="0.3">
      <c r="A897" s="2" t="s">
        <v>923</v>
      </c>
      <c r="B897" s="2" t="s">
        <v>15</v>
      </c>
      <c r="C897" s="2" t="s">
        <v>16</v>
      </c>
      <c r="D897" s="3">
        <v>45958</v>
      </c>
      <c r="E897" s="3">
        <v>45960</v>
      </c>
      <c r="F897" s="3">
        <v>45963</v>
      </c>
      <c r="G897" s="3">
        <v>45967</v>
      </c>
      <c r="H897" s="23" t="str">
        <f t="shared" si="13"/>
        <v>Delivered</v>
      </c>
      <c r="I897" s="2" t="s">
        <v>23</v>
      </c>
      <c r="J897" s="2" t="s">
        <v>101</v>
      </c>
      <c r="L897" s="2">
        <v>2</v>
      </c>
      <c r="M897" s="2">
        <v>3</v>
      </c>
      <c r="N897" s="2">
        <v>4</v>
      </c>
      <c r="O897" t="s">
        <v>1080</v>
      </c>
      <c r="P897" s="24" t="str" cm="1">
        <f t="array" ref="P897">_xlfn.IFS(O897&lt;=6,"Detractors",AND(O897&gt;=7,O897&lt;=8),"Passives",AND(O897&gt;8,O897&lt;=10),"Promoters",O897="Not Available","NA")</f>
        <v>NA</v>
      </c>
    </row>
    <row r="898" spans="1:16" ht="14.25" customHeight="1" x14ac:dyDescent="0.3">
      <c r="A898" s="2" t="s">
        <v>924</v>
      </c>
      <c r="B898" s="2" t="s">
        <v>15</v>
      </c>
      <c r="C898" s="2" t="s">
        <v>22</v>
      </c>
      <c r="D898" s="3">
        <v>45935</v>
      </c>
      <c r="H898" s="23" t="str">
        <f t="shared" si="13"/>
        <v>Not Delivered</v>
      </c>
      <c r="I898" s="2" t="s">
        <v>23</v>
      </c>
      <c r="J898" s="2" t="s">
        <v>101</v>
      </c>
      <c r="L898">
        <v>0</v>
      </c>
      <c r="M898">
        <v>0</v>
      </c>
      <c r="N898">
        <v>0</v>
      </c>
      <c r="O898" t="s">
        <v>1080</v>
      </c>
      <c r="P898" s="24" t="str" cm="1">
        <f t="array" ref="P898">_xlfn.IFS(O898&lt;=6,"Detractors",AND(O898&gt;=7,O898&lt;=8),"Passives",AND(O898&gt;8,O898&lt;=10),"Promoters",O898="Not Available","NA")</f>
        <v>NA</v>
      </c>
    </row>
    <row r="899" spans="1:16" ht="14.25" customHeight="1" x14ac:dyDescent="0.3">
      <c r="A899" s="2" t="s">
        <v>925</v>
      </c>
      <c r="B899" s="2" t="s">
        <v>19</v>
      </c>
      <c r="C899" s="2" t="s">
        <v>22</v>
      </c>
      <c r="D899" s="3">
        <v>45935</v>
      </c>
      <c r="H899" s="23" t="str">
        <f t="shared" ref="H899:H962" si="14">IF(G899="", "Not Delivered", "Delivered")</f>
        <v>Not Delivered</v>
      </c>
      <c r="I899" s="2" t="s">
        <v>23</v>
      </c>
      <c r="J899" s="2" t="s">
        <v>33</v>
      </c>
      <c r="L899">
        <v>0</v>
      </c>
      <c r="M899">
        <v>0</v>
      </c>
      <c r="N899">
        <v>0</v>
      </c>
      <c r="O899" t="s">
        <v>1080</v>
      </c>
      <c r="P899" s="24" t="str" cm="1">
        <f t="array" ref="P899">_xlfn.IFS(O899&lt;=6,"Detractors",AND(O899&gt;=7,O899&lt;=8),"Passives",AND(O899&gt;8,O899&lt;=10),"Promoters",O899="Not Available","NA")</f>
        <v>NA</v>
      </c>
    </row>
    <row r="900" spans="1:16" ht="14.25" customHeight="1" x14ac:dyDescent="0.3">
      <c r="A900" s="2" t="s">
        <v>926</v>
      </c>
      <c r="B900" s="2" t="s">
        <v>15</v>
      </c>
      <c r="C900" s="2" t="s">
        <v>22</v>
      </c>
      <c r="D900" s="3">
        <v>45948</v>
      </c>
      <c r="H900" s="23" t="str">
        <f t="shared" si="14"/>
        <v>Not Delivered</v>
      </c>
      <c r="I900" s="2" t="s">
        <v>23</v>
      </c>
      <c r="J900" s="2" t="s">
        <v>24</v>
      </c>
      <c r="L900">
        <v>0</v>
      </c>
      <c r="M900">
        <v>0</v>
      </c>
      <c r="N900">
        <v>0</v>
      </c>
      <c r="O900" t="s">
        <v>1080</v>
      </c>
      <c r="P900" s="24" t="str" cm="1">
        <f t="array" ref="P900">_xlfn.IFS(O900&lt;=6,"Detractors",AND(O900&gt;=7,O900&lt;=8),"Passives",AND(O900&gt;8,O900&lt;=10),"Promoters",O900="Not Available","NA")</f>
        <v>NA</v>
      </c>
    </row>
    <row r="901" spans="1:16" ht="14.25" customHeight="1" x14ac:dyDescent="0.3">
      <c r="A901" s="42" t="s">
        <v>927</v>
      </c>
      <c r="B901" s="2" t="s">
        <v>32</v>
      </c>
      <c r="C901" s="2" t="s">
        <v>30</v>
      </c>
      <c r="D901" s="3">
        <v>45939</v>
      </c>
      <c r="E901" s="3">
        <v>45943</v>
      </c>
      <c r="F901" s="3">
        <v>45945</v>
      </c>
      <c r="G901" s="3">
        <v>45948</v>
      </c>
      <c r="H901" s="23" t="str">
        <f t="shared" si="14"/>
        <v>Delivered</v>
      </c>
      <c r="I901" s="2" t="s">
        <v>17</v>
      </c>
      <c r="J901" s="24" t="s">
        <v>1054</v>
      </c>
      <c r="K901" s="3">
        <v>45976</v>
      </c>
      <c r="L901" s="2">
        <v>4</v>
      </c>
      <c r="M901" s="2">
        <v>2</v>
      </c>
      <c r="N901" s="2">
        <v>3</v>
      </c>
      <c r="O901" s="36">
        <v>9</v>
      </c>
      <c r="P901" s="24" t="str" cm="1">
        <f t="array" ref="P901">_xlfn.IFS(O901&lt;=6,"Detractors",AND(O901&gt;=7,O901&lt;=8),"Passives",AND(O901&gt;8,O901&lt;=10),"Promoters",O901="Not Available","NA")</f>
        <v>Promoters</v>
      </c>
    </row>
    <row r="902" spans="1:16" ht="14.25" customHeight="1" x14ac:dyDescent="0.3">
      <c r="A902" s="2" t="s">
        <v>928</v>
      </c>
      <c r="B902" s="2" t="s">
        <v>19</v>
      </c>
      <c r="C902" s="2" t="s">
        <v>16</v>
      </c>
      <c r="D902" s="3">
        <v>45956</v>
      </c>
      <c r="E902" s="3">
        <v>45961</v>
      </c>
      <c r="F902" s="3">
        <v>45965</v>
      </c>
      <c r="G902" s="3">
        <v>45968</v>
      </c>
      <c r="H902" s="23" t="str">
        <f t="shared" si="14"/>
        <v>Delivered</v>
      </c>
      <c r="I902" s="2" t="s">
        <v>17</v>
      </c>
      <c r="J902" s="24" t="s">
        <v>1054</v>
      </c>
      <c r="K902" s="3">
        <v>45993</v>
      </c>
      <c r="L902" s="2">
        <v>5</v>
      </c>
      <c r="M902" s="2">
        <v>4</v>
      </c>
      <c r="N902" s="2">
        <v>3</v>
      </c>
      <c r="O902" s="36">
        <v>10</v>
      </c>
      <c r="P902" s="24" t="str" cm="1">
        <f t="array" ref="P902">_xlfn.IFS(O902&lt;=6,"Detractors",AND(O902&gt;=7,O902&lt;=8),"Passives",AND(O902&gt;8,O902&lt;=10),"Promoters",O902="Not Available","NA")</f>
        <v>Promoters</v>
      </c>
    </row>
    <row r="903" spans="1:16" ht="14.25" customHeight="1" x14ac:dyDescent="0.3">
      <c r="A903" s="2" t="s">
        <v>929</v>
      </c>
      <c r="B903" s="2" t="s">
        <v>19</v>
      </c>
      <c r="C903" s="2" t="s">
        <v>16</v>
      </c>
      <c r="D903" s="3">
        <v>45936</v>
      </c>
      <c r="E903" s="3">
        <v>45940</v>
      </c>
      <c r="F903" s="3">
        <v>45944</v>
      </c>
      <c r="G903" s="3">
        <v>45948</v>
      </c>
      <c r="H903" s="23" t="str">
        <f t="shared" si="14"/>
        <v>Delivered</v>
      </c>
      <c r="I903" s="2" t="s">
        <v>17</v>
      </c>
      <c r="J903" s="24" t="s">
        <v>1054</v>
      </c>
      <c r="K903" s="3">
        <v>45962</v>
      </c>
      <c r="L903" s="2">
        <v>4</v>
      </c>
      <c r="M903" s="2">
        <v>4</v>
      </c>
      <c r="N903" s="2">
        <v>4</v>
      </c>
      <c r="O903" s="36">
        <v>0</v>
      </c>
      <c r="P903" s="24" t="str" cm="1">
        <f t="array" ref="P903">_xlfn.IFS(O903&lt;=6,"Detractors",AND(O903&gt;=7,O903&lt;=8),"Passives",AND(O903&gt;8,O903&lt;=10),"Promoters",O903="Not Available","NA")</f>
        <v>Detractors</v>
      </c>
    </row>
    <row r="904" spans="1:16" ht="14.25" customHeight="1" x14ac:dyDescent="0.3">
      <c r="A904" s="2" t="s">
        <v>930</v>
      </c>
      <c r="B904" s="2" t="s">
        <v>19</v>
      </c>
      <c r="C904" s="2" t="s">
        <v>16</v>
      </c>
      <c r="D904" s="3">
        <v>45934</v>
      </c>
      <c r="E904" s="3">
        <v>45938</v>
      </c>
      <c r="F904" s="3">
        <v>45939</v>
      </c>
      <c r="G904" s="3">
        <v>45943</v>
      </c>
      <c r="H904" s="23" t="str">
        <f t="shared" si="14"/>
        <v>Delivered</v>
      </c>
      <c r="I904" s="2" t="s">
        <v>17</v>
      </c>
      <c r="J904" s="24" t="s">
        <v>1054</v>
      </c>
      <c r="K904" s="3">
        <v>45955</v>
      </c>
      <c r="L904" s="2">
        <v>4</v>
      </c>
      <c r="M904" s="2">
        <v>1</v>
      </c>
      <c r="N904" s="2">
        <v>4</v>
      </c>
      <c r="O904" s="36">
        <v>5</v>
      </c>
      <c r="P904" s="24" t="str" cm="1">
        <f t="array" ref="P904">_xlfn.IFS(O904&lt;=6,"Detractors",AND(O904&gt;=7,O904&lt;=8),"Passives",AND(O904&gt;8,O904&lt;=10),"Promoters",O904="Not Available","NA")</f>
        <v>Detractors</v>
      </c>
    </row>
    <row r="905" spans="1:16" ht="14.25" customHeight="1" x14ac:dyDescent="0.3">
      <c r="A905" s="2" t="s">
        <v>931</v>
      </c>
      <c r="B905" s="2" t="s">
        <v>32</v>
      </c>
      <c r="C905" s="2" t="s">
        <v>16</v>
      </c>
      <c r="D905" s="3">
        <v>45952</v>
      </c>
      <c r="E905" s="3">
        <v>45955</v>
      </c>
      <c r="F905" s="3">
        <v>45959</v>
      </c>
      <c r="G905" s="3">
        <v>45964</v>
      </c>
      <c r="H905" s="23" t="str">
        <f t="shared" si="14"/>
        <v>Delivered</v>
      </c>
      <c r="I905" s="2" t="s">
        <v>17</v>
      </c>
      <c r="J905" s="24" t="s">
        <v>1054</v>
      </c>
      <c r="K905" s="3">
        <v>45990</v>
      </c>
      <c r="L905" s="2">
        <v>3</v>
      </c>
      <c r="M905" s="2">
        <v>4</v>
      </c>
      <c r="N905" s="2">
        <v>5</v>
      </c>
      <c r="O905" s="36">
        <v>9</v>
      </c>
      <c r="P905" s="24" t="str" cm="1">
        <f t="array" ref="P905">_xlfn.IFS(O905&lt;=6,"Detractors",AND(O905&gt;=7,O905&lt;=8),"Passives",AND(O905&gt;8,O905&lt;=10),"Promoters",O905="Not Available","NA")</f>
        <v>Promoters</v>
      </c>
    </row>
    <row r="906" spans="1:16" ht="14.25" customHeight="1" x14ac:dyDescent="0.3">
      <c r="A906" s="2" t="s">
        <v>932</v>
      </c>
      <c r="B906" s="2" t="s">
        <v>19</v>
      </c>
      <c r="C906" s="2" t="s">
        <v>22</v>
      </c>
      <c r="D906" s="3">
        <v>45958</v>
      </c>
      <c r="H906" s="23" t="str">
        <f t="shared" si="14"/>
        <v>Not Delivered</v>
      </c>
      <c r="I906" s="2" t="s">
        <v>23</v>
      </c>
      <c r="J906" s="2" t="s">
        <v>63</v>
      </c>
      <c r="L906">
        <v>0</v>
      </c>
      <c r="M906">
        <v>0</v>
      </c>
      <c r="N906">
        <v>0</v>
      </c>
      <c r="O906" t="s">
        <v>1080</v>
      </c>
      <c r="P906" s="24" t="str" cm="1">
        <f t="array" ref="P906">_xlfn.IFS(O906&lt;=6,"Detractors",AND(O906&gt;=7,O906&lt;=8),"Passives",AND(O906&gt;8,O906&lt;=10),"Promoters",O906="Not Available","NA")</f>
        <v>NA</v>
      </c>
    </row>
    <row r="907" spans="1:16" ht="14.25" customHeight="1" x14ac:dyDescent="0.3">
      <c r="A907" s="2" t="s">
        <v>933</v>
      </c>
      <c r="B907" s="2" t="s">
        <v>32</v>
      </c>
      <c r="C907" s="2" t="s">
        <v>16</v>
      </c>
      <c r="D907" s="3">
        <v>45931</v>
      </c>
      <c r="E907" s="3">
        <v>45935</v>
      </c>
      <c r="F907" s="3">
        <v>45940</v>
      </c>
      <c r="G907" s="3">
        <v>45943</v>
      </c>
      <c r="H907" s="23" t="str">
        <f t="shared" si="14"/>
        <v>Delivered</v>
      </c>
      <c r="I907" s="2" t="s">
        <v>17</v>
      </c>
      <c r="J907" s="24" t="s">
        <v>1054</v>
      </c>
      <c r="K907" s="3">
        <v>45955</v>
      </c>
      <c r="L907" s="2">
        <v>4</v>
      </c>
      <c r="M907" s="2">
        <v>5</v>
      </c>
      <c r="N907" s="2">
        <v>3</v>
      </c>
      <c r="O907" s="36">
        <v>7</v>
      </c>
      <c r="P907" s="24" t="str" cm="1">
        <f t="array" ref="P907">_xlfn.IFS(O907&lt;=6,"Detractors",AND(O907&gt;=7,O907&lt;=8),"Passives",AND(O907&gt;8,O907&lt;=10),"Promoters",O907="Not Available","NA")</f>
        <v>Passives</v>
      </c>
    </row>
    <row r="908" spans="1:16" ht="14.25" customHeight="1" x14ac:dyDescent="0.3">
      <c r="A908" s="2" t="s">
        <v>934</v>
      </c>
      <c r="B908" s="2" t="s">
        <v>19</v>
      </c>
      <c r="C908" s="2" t="s">
        <v>16</v>
      </c>
      <c r="D908" s="3">
        <v>45935</v>
      </c>
      <c r="E908" s="3">
        <v>45936</v>
      </c>
      <c r="F908" s="3">
        <v>45940</v>
      </c>
      <c r="G908" s="3">
        <v>45942</v>
      </c>
      <c r="H908" s="23" t="str">
        <f t="shared" si="14"/>
        <v>Delivered</v>
      </c>
      <c r="I908" s="2" t="s">
        <v>17</v>
      </c>
      <c r="J908" s="24" t="s">
        <v>1054</v>
      </c>
      <c r="K908" s="3">
        <v>45955</v>
      </c>
      <c r="L908" s="2">
        <v>1</v>
      </c>
      <c r="M908" s="2">
        <v>4</v>
      </c>
      <c r="N908" s="2">
        <v>2</v>
      </c>
      <c r="O908" s="36">
        <v>4</v>
      </c>
      <c r="P908" s="24" t="str" cm="1">
        <f t="array" ref="P908">_xlfn.IFS(O908&lt;=6,"Detractors",AND(O908&gt;=7,O908&lt;=8),"Passives",AND(O908&gt;8,O908&lt;=10),"Promoters",O908="Not Available","NA")</f>
        <v>Detractors</v>
      </c>
    </row>
    <row r="909" spans="1:16" ht="14.25" customHeight="1" x14ac:dyDescent="0.3">
      <c r="A909" s="42" t="s">
        <v>935</v>
      </c>
      <c r="B909" s="2" t="s">
        <v>21</v>
      </c>
      <c r="C909" s="2" t="s">
        <v>30</v>
      </c>
      <c r="D909" s="3">
        <v>45931</v>
      </c>
      <c r="E909" s="3">
        <v>45932</v>
      </c>
      <c r="F909" s="3">
        <v>45937</v>
      </c>
      <c r="G909" s="3">
        <v>45943</v>
      </c>
      <c r="H909" s="23" t="str">
        <f t="shared" si="14"/>
        <v>Delivered</v>
      </c>
      <c r="I909" s="2" t="s">
        <v>17</v>
      </c>
      <c r="J909" s="24" t="s">
        <v>1054</v>
      </c>
      <c r="K909" s="3">
        <v>45961</v>
      </c>
      <c r="L909" s="2">
        <v>1</v>
      </c>
      <c r="M909" s="2">
        <v>5</v>
      </c>
      <c r="N909" s="2">
        <v>6</v>
      </c>
      <c r="O909" s="36">
        <v>2</v>
      </c>
      <c r="P909" s="24" t="str" cm="1">
        <f t="array" ref="P909">_xlfn.IFS(O909&lt;=6,"Detractors",AND(O909&gt;=7,O909&lt;=8),"Passives",AND(O909&gt;8,O909&lt;=10),"Promoters",O909="Not Available","NA")</f>
        <v>Detractors</v>
      </c>
    </row>
    <row r="910" spans="1:16" ht="14.25" customHeight="1" x14ac:dyDescent="0.3">
      <c r="A910" s="2" t="s">
        <v>936</v>
      </c>
      <c r="B910" s="2" t="s">
        <v>15</v>
      </c>
      <c r="C910" s="2" t="s">
        <v>16</v>
      </c>
      <c r="D910" s="3">
        <v>45942</v>
      </c>
      <c r="E910" s="3">
        <v>45946</v>
      </c>
      <c r="F910" s="3">
        <v>45950</v>
      </c>
      <c r="G910" s="3">
        <v>45956</v>
      </c>
      <c r="H910" s="23" t="str">
        <f t="shared" si="14"/>
        <v>Delivered</v>
      </c>
      <c r="I910" s="2" t="s">
        <v>17</v>
      </c>
      <c r="J910" s="24" t="s">
        <v>1054</v>
      </c>
      <c r="K910" s="3">
        <v>45986</v>
      </c>
      <c r="L910" s="2">
        <v>4</v>
      </c>
      <c r="M910" s="2">
        <v>4</v>
      </c>
      <c r="N910" s="2">
        <v>6</v>
      </c>
      <c r="O910" s="36">
        <v>8</v>
      </c>
      <c r="P910" s="24" t="str" cm="1">
        <f t="array" ref="P910">_xlfn.IFS(O910&lt;=6,"Detractors",AND(O910&gt;=7,O910&lt;=8),"Passives",AND(O910&gt;8,O910&lt;=10),"Promoters",O910="Not Available","NA")</f>
        <v>Passives</v>
      </c>
    </row>
    <row r="911" spans="1:16" ht="14.25" customHeight="1" x14ac:dyDescent="0.3">
      <c r="A911" s="2" t="s">
        <v>937</v>
      </c>
      <c r="B911" s="2" t="s">
        <v>21</v>
      </c>
      <c r="C911" s="2" t="s">
        <v>16</v>
      </c>
      <c r="D911" s="3">
        <v>45956</v>
      </c>
      <c r="E911" s="3">
        <v>45961</v>
      </c>
      <c r="F911" s="3">
        <v>45966</v>
      </c>
      <c r="G911" s="3">
        <v>45972</v>
      </c>
      <c r="H911" s="23" t="str">
        <f t="shared" si="14"/>
        <v>Delivered</v>
      </c>
      <c r="I911" s="2" t="s">
        <v>17</v>
      </c>
      <c r="J911" s="24" t="s">
        <v>1054</v>
      </c>
      <c r="K911" s="3">
        <v>45989</v>
      </c>
      <c r="L911" s="2">
        <v>5</v>
      </c>
      <c r="M911" s="2">
        <v>5</v>
      </c>
      <c r="N911" s="2">
        <v>6</v>
      </c>
      <c r="O911" s="36">
        <v>2</v>
      </c>
      <c r="P911" s="24" t="str" cm="1">
        <f t="array" ref="P911">_xlfn.IFS(O911&lt;=6,"Detractors",AND(O911&gt;=7,O911&lt;=8),"Passives",AND(O911&gt;8,O911&lt;=10),"Promoters",O911="Not Available","NA")</f>
        <v>Detractors</v>
      </c>
    </row>
    <row r="912" spans="1:16" ht="14.25" customHeight="1" x14ac:dyDescent="0.3">
      <c r="A912" s="2" t="s">
        <v>938</v>
      </c>
      <c r="B912" s="2" t="s">
        <v>15</v>
      </c>
      <c r="C912" s="2" t="s">
        <v>16</v>
      </c>
      <c r="D912" s="3">
        <v>45956</v>
      </c>
      <c r="E912" s="3">
        <v>45960</v>
      </c>
      <c r="F912" s="3">
        <v>45965</v>
      </c>
      <c r="G912" s="3">
        <v>45968</v>
      </c>
      <c r="H912" s="23" t="str">
        <f t="shared" si="14"/>
        <v>Delivered</v>
      </c>
      <c r="I912" s="2" t="s">
        <v>17</v>
      </c>
      <c r="J912" s="24" t="s">
        <v>1054</v>
      </c>
      <c r="K912" s="3">
        <v>45992</v>
      </c>
      <c r="L912" s="2">
        <v>4</v>
      </c>
      <c r="M912" s="2">
        <v>5</v>
      </c>
      <c r="N912" s="2">
        <v>3</v>
      </c>
      <c r="O912" s="36">
        <v>4</v>
      </c>
      <c r="P912" s="24" t="str" cm="1">
        <f t="array" ref="P912">_xlfn.IFS(O912&lt;=6,"Detractors",AND(O912&gt;=7,O912&lt;=8),"Passives",AND(O912&gt;8,O912&lt;=10),"Promoters",O912="Not Available","NA")</f>
        <v>Detractors</v>
      </c>
    </row>
    <row r="913" spans="1:16" ht="14.25" customHeight="1" x14ac:dyDescent="0.3">
      <c r="A913" s="42" t="s">
        <v>939</v>
      </c>
      <c r="B913" s="2" t="s">
        <v>32</v>
      </c>
      <c r="C913" s="2" t="s">
        <v>30</v>
      </c>
      <c r="D913" s="3">
        <v>45938</v>
      </c>
      <c r="E913" s="3">
        <v>45940</v>
      </c>
      <c r="F913" s="3">
        <v>45944</v>
      </c>
      <c r="G913" s="3">
        <v>45951</v>
      </c>
      <c r="H913" s="23" t="str">
        <f t="shared" si="14"/>
        <v>Delivered</v>
      </c>
      <c r="I913" s="2" t="s">
        <v>17</v>
      </c>
      <c r="J913" s="24" t="s">
        <v>1054</v>
      </c>
      <c r="K913" s="3">
        <v>45970</v>
      </c>
      <c r="L913" s="2">
        <v>2</v>
      </c>
      <c r="M913" s="2">
        <v>4</v>
      </c>
      <c r="N913" s="2">
        <v>7</v>
      </c>
      <c r="O913" s="36">
        <v>1</v>
      </c>
      <c r="P913" s="24" t="str" cm="1">
        <f t="array" ref="P913">_xlfn.IFS(O913&lt;=6,"Detractors",AND(O913&gt;=7,O913&lt;=8),"Passives",AND(O913&gt;8,O913&lt;=10),"Promoters",O913="Not Available","NA")</f>
        <v>Detractors</v>
      </c>
    </row>
    <row r="914" spans="1:16" ht="14.25" customHeight="1" x14ac:dyDescent="0.3">
      <c r="A914" s="42" t="s">
        <v>940</v>
      </c>
      <c r="B914" s="2" t="s">
        <v>21</v>
      </c>
      <c r="C914" s="2" t="s">
        <v>30</v>
      </c>
      <c r="D914" s="3">
        <v>45949</v>
      </c>
      <c r="E914" s="3">
        <v>45951</v>
      </c>
      <c r="F914" s="3">
        <v>45956</v>
      </c>
      <c r="G914" s="3">
        <v>45960</v>
      </c>
      <c r="H914" s="23" t="str">
        <f t="shared" si="14"/>
        <v>Delivered</v>
      </c>
      <c r="I914" s="2" t="s">
        <v>17</v>
      </c>
      <c r="J914" s="24" t="s">
        <v>1054</v>
      </c>
      <c r="K914" s="3">
        <v>45978</v>
      </c>
      <c r="L914" s="2">
        <v>2</v>
      </c>
      <c r="M914" s="2">
        <v>5</v>
      </c>
      <c r="N914" s="2">
        <v>4</v>
      </c>
      <c r="O914" s="36">
        <v>8</v>
      </c>
      <c r="P914" s="24" t="str" cm="1">
        <f t="array" ref="P914">_xlfn.IFS(O914&lt;=6,"Detractors",AND(O914&gt;=7,O914&lt;=8),"Passives",AND(O914&gt;8,O914&lt;=10),"Promoters",O914="Not Available","NA")</f>
        <v>Passives</v>
      </c>
    </row>
    <row r="915" spans="1:16" ht="14.25" customHeight="1" x14ac:dyDescent="0.3">
      <c r="A915" s="2" t="s">
        <v>941</v>
      </c>
      <c r="B915" s="2" t="s">
        <v>19</v>
      </c>
      <c r="C915" s="2" t="s">
        <v>16</v>
      </c>
      <c r="D915" s="3">
        <v>45941</v>
      </c>
      <c r="E915" s="3">
        <v>45946</v>
      </c>
      <c r="F915" s="3">
        <v>45947</v>
      </c>
      <c r="G915" s="3">
        <v>45952</v>
      </c>
      <c r="H915" s="23" t="str">
        <f t="shared" si="14"/>
        <v>Delivered</v>
      </c>
      <c r="I915" s="2" t="s">
        <v>17</v>
      </c>
      <c r="J915" s="24" t="s">
        <v>1054</v>
      </c>
      <c r="K915" s="3">
        <v>45976</v>
      </c>
      <c r="L915" s="2">
        <v>5</v>
      </c>
      <c r="M915" s="2">
        <v>1</v>
      </c>
      <c r="N915" s="2">
        <v>5</v>
      </c>
      <c r="O915" s="36">
        <v>9</v>
      </c>
      <c r="P915" s="24" t="str" cm="1">
        <f t="array" ref="P915">_xlfn.IFS(O915&lt;=6,"Detractors",AND(O915&gt;=7,O915&lt;=8),"Passives",AND(O915&gt;8,O915&lt;=10),"Promoters",O915="Not Available","NA")</f>
        <v>Promoters</v>
      </c>
    </row>
    <row r="916" spans="1:16" ht="14.25" customHeight="1" x14ac:dyDescent="0.3">
      <c r="A916" s="42" t="s">
        <v>942</v>
      </c>
      <c r="B916" s="2" t="s">
        <v>15</v>
      </c>
      <c r="C916" s="2" t="s">
        <v>30</v>
      </c>
      <c r="D916" s="3">
        <v>45931</v>
      </c>
      <c r="E916" s="3">
        <v>45934</v>
      </c>
      <c r="F916" s="3">
        <v>45937</v>
      </c>
      <c r="G916" s="3">
        <v>45942</v>
      </c>
      <c r="H916" s="23" t="str">
        <f t="shared" si="14"/>
        <v>Delivered</v>
      </c>
      <c r="I916" s="2" t="s">
        <v>17</v>
      </c>
      <c r="J916" s="24" t="s">
        <v>1054</v>
      </c>
      <c r="K916" s="3">
        <v>45953</v>
      </c>
      <c r="L916" s="2">
        <v>3</v>
      </c>
      <c r="M916" s="2">
        <v>3</v>
      </c>
      <c r="N916" s="2">
        <v>5</v>
      </c>
      <c r="O916" s="36">
        <v>4</v>
      </c>
      <c r="P916" s="24" t="str" cm="1">
        <f t="array" ref="P916">_xlfn.IFS(O916&lt;=6,"Detractors",AND(O916&gt;=7,O916&lt;=8),"Passives",AND(O916&gt;8,O916&lt;=10),"Promoters",O916="Not Available","NA")</f>
        <v>Detractors</v>
      </c>
    </row>
    <row r="917" spans="1:16" ht="14.25" customHeight="1" x14ac:dyDescent="0.3">
      <c r="A917" s="42" t="s">
        <v>943</v>
      </c>
      <c r="B917" s="2" t="s">
        <v>15</v>
      </c>
      <c r="C917" s="2" t="s">
        <v>30</v>
      </c>
      <c r="D917" s="3">
        <v>45936</v>
      </c>
      <c r="E917" s="3">
        <v>45937</v>
      </c>
      <c r="F917" s="3">
        <v>45942</v>
      </c>
      <c r="G917" s="3">
        <v>45948</v>
      </c>
      <c r="H917" s="23" t="str">
        <f t="shared" si="14"/>
        <v>Delivered</v>
      </c>
      <c r="I917" s="2" t="s">
        <v>17</v>
      </c>
      <c r="J917" s="24" t="s">
        <v>1054</v>
      </c>
      <c r="K917" s="3">
        <v>45961</v>
      </c>
      <c r="L917" s="2">
        <v>1</v>
      </c>
      <c r="M917" s="2">
        <v>5</v>
      </c>
      <c r="N917" s="2">
        <v>6</v>
      </c>
      <c r="O917" s="36">
        <v>1</v>
      </c>
      <c r="P917" s="24" t="str" cm="1">
        <f t="array" ref="P917">_xlfn.IFS(O917&lt;=6,"Detractors",AND(O917&gt;=7,O917&lt;=8),"Passives",AND(O917&gt;8,O917&lt;=10),"Promoters",O917="Not Available","NA")</f>
        <v>Detractors</v>
      </c>
    </row>
    <row r="918" spans="1:16" ht="14.25" customHeight="1" x14ac:dyDescent="0.3">
      <c r="A918" s="42" t="s">
        <v>944</v>
      </c>
      <c r="B918" s="2" t="s">
        <v>21</v>
      </c>
      <c r="C918" s="2" t="s">
        <v>30</v>
      </c>
      <c r="D918" s="3">
        <v>45939</v>
      </c>
      <c r="E918" s="3">
        <v>45940</v>
      </c>
      <c r="F918" s="3">
        <v>45945</v>
      </c>
      <c r="G918" s="3">
        <v>45950</v>
      </c>
      <c r="H918" s="23" t="str">
        <f t="shared" si="14"/>
        <v>Delivered</v>
      </c>
      <c r="I918" s="2" t="s">
        <v>17</v>
      </c>
      <c r="J918" s="24" t="s">
        <v>1054</v>
      </c>
      <c r="K918" s="3">
        <v>45965</v>
      </c>
      <c r="L918" s="2">
        <v>1</v>
      </c>
      <c r="M918" s="2">
        <v>5</v>
      </c>
      <c r="N918" s="2">
        <v>5</v>
      </c>
      <c r="O918" s="36">
        <v>6</v>
      </c>
      <c r="P918" s="24" t="str" cm="1">
        <f t="array" ref="P918">_xlfn.IFS(O918&lt;=6,"Detractors",AND(O918&gt;=7,O918&lt;=8),"Passives",AND(O918&gt;8,O918&lt;=10),"Promoters",O918="Not Available","NA")</f>
        <v>Detractors</v>
      </c>
    </row>
    <row r="919" spans="1:16" ht="14.25" customHeight="1" x14ac:dyDescent="0.3">
      <c r="A919" s="42" t="s">
        <v>945</v>
      </c>
      <c r="B919" s="2" t="s">
        <v>32</v>
      </c>
      <c r="C919" s="2" t="s">
        <v>30</v>
      </c>
      <c r="D919" s="3">
        <v>45932</v>
      </c>
      <c r="E919" s="3">
        <v>45935</v>
      </c>
      <c r="F919" s="3">
        <v>45936</v>
      </c>
      <c r="G919" s="3">
        <v>45938</v>
      </c>
      <c r="H919" s="23" t="str">
        <f t="shared" si="14"/>
        <v>Delivered</v>
      </c>
      <c r="I919" s="2" t="s">
        <v>17</v>
      </c>
      <c r="J919" s="24" t="s">
        <v>1054</v>
      </c>
      <c r="K919" s="3">
        <v>45949</v>
      </c>
      <c r="L919" s="2">
        <v>3</v>
      </c>
      <c r="M919" s="2">
        <v>1</v>
      </c>
      <c r="N919" s="2">
        <v>2</v>
      </c>
      <c r="O919" s="36">
        <v>8</v>
      </c>
      <c r="P919" s="24" t="str" cm="1">
        <f t="array" ref="P919">_xlfn.IFS(O919&lt;=6,"Detractors",AND(O919&gt;=7,O919&lt;=8),"Passives",AND(O919&gt;8,O919&lt;=10),"Promoters",O919="Not Available","NA")</f>
        <v>Passives</v>
      </c>
    </row>
    <row r="920" spans="1:16" ht="14.25" customHeight="1" x14ac:dyDescent="0.3">
      <c r="A920" s="42" t="s">
        <v>946</v>
      </c>
      <c r="B920" s="2" t="s">
        <v>21</v>
      </c>
      <c r="C920" s="2" t="s">
        <v>30</v>
      </c>
      <c r="D920" s="3">
        <v>45935</v>
      </c>
      <c r="E920" s="3">
        <v>45939</v>
      </c>
      <c r="F920" s="3">
        <v>45940</v>
      </c>
      <c r="G920" s="3">
        <v>45942</v>
      </c>
      <c r="H920" s="23" t="str">
        <f t="shared" si="14"/>
        <v>Delivered</v>
      </c>
      <c r="I920" s="2" t="s">
        <v>17</v>
      </c>
      <c r="J920" s="24" t="s">
        <v>1054</v>
      </c>
      <c r="K920" s="3">
        <v>45961</v>
      </c>
      <c r="L920" s="2">
        <v>4</v>
      </c>
      <c r="M920" s="2">
        <v>1</v>
      </c>
      <c r="N920" s="2">
        <v>2</v>
      </c>
      <c r="O920" s="36">
        <v>1</v>
      </c>
      <c r="P920" s="24" t="str" cm="1">
        <f t="array" ref="P920">_xlfn.IFS(O920&lt;=6,"Detractors",AND(O920&gt;=7,O920&lt;=8),"Passives",AND(O920&gt;8,O920&lt;=10),"Promoters",O920="Not Available","NA")</f>
        <v>Detractors</v>
      </c>
    </row>
    <row r="921" spans="1:16" ht="14.25" customHeight="1" x14ac:dyDescent="0.3">
      <c r="A921" s="2" t="s">
        <v>947</v>
      </c>
      <c r="B921" s="2" t="s">
        <v>32</v>
      </c>
      <c r="C921" s="2" t="s">
        <v>16</v>
      </c>
      <c r="D921" s="3">
        <v>45954</v>
      </c>
      <c r="E921" s="3">
        <v>45959</v>
      </c>
      <c r="F921" s="3">
        <v>45961</v>
      </c>
      <c r="G921" s="3">
        <v>45965</v>
      </c>
      <c r="H921" s="23" t="str">
        <f t="shared" si="14"/>
        <v>Delivered</v>
      </c>
      <c r="I921" s="2" t="s">
        <v>17</v>
      </c>
      <c r="J921" s="24" t="s">
        <v>1054</v>
      </c>
      <c r="K921" s="3">
        <v>45986</v>
      </c>
      <c r="L921" s="2">
        <v>5</v>
      </c>
      <c r="M921" s="2">
        <v>2</v>
      </c>
      <c r="N921" s="2">
        <v>4</v>
      </c>
      <c r="O921" s="36">
        <v>6</v>
      </c>
      <c r="P921" s="24" t="str" cm="1">
        <f t="array" ref="P921">_xlfn.IFS(O921&lt;=6,"Detractors",AND(O921&gt;=7,O921&lt;=8),"Passives",AND(O921&gt;8,O921&lt;=10),"Promoters",O921="Not Available","NA")</f>
        <v>Detractors</v>
      </c>
    </row>
    <row r="922" spans="1:16" ht="14.25" customHeight="1" x14ac:dyDescent="0.3">
      <c r="A922" s="2" t="s">
        <v>948</v>
      </c>
      <c r="B922" s="2" t="s">
        <v>32</v>
      </c>
      <c r="C922" s="2" t="s">
        <v>16</v>
      </c>
      <c r="D922" s="3">
        <v>45944</v>
      </c>
      <c r="E922" s="3">
        <v>45948</v>
      </c>
      <c r="F922" s="3">
        <v>45951</v>
      </c>
      <c r="G922" s="3">
        <v>45956</v>
      </c>
      <c r="H922" s="23" t="str">
        <f t="shared" si="14"/>
        <v>Delivered</v>
      </c>
      <c r="I922" s="2" t="s">
        <v>17</v>
      </c>
      <c r="J922" s="24" t="s">
        <v>1054</v>
      </c>
      <c r="K922" s="3">
        <v>45976</v>
      </c>
      <c r="L922" s="2">
        <v>4</v>
      </c>
      <c r="M922" s="2">
        <v>3</v>
      </c>
      <c r="N922" s="2">
        <v>5</v>
      </c>
      <c r="O922" s="36">
        <v>0</v>
      </c>
      <c r="P922" s="24" t="str" cm="1">
        <f t="array" ref="P922">_xlfn.IFS(O922&lt;=6,"Detractors",AND(O922&gt;=7,O922&lt;=8),"Passives",AND(O922&gt;8,O922&lt;=10),"Promoters",O922="Not Available","NA")</f>
        <v>Detractors</v>
      </c>
    </row>
    <row r="923" spans="1:16" ht="14.25" customHeight="1" x14ac:dyDescent="0.3">
      <c r="A923" s="2" t="s">
        <v>949</v>
      </c>
      <c r="B923" s="2" t="s">
        <v>15</v>
      </c>
      <c r="C923" s="2" t="s">
        <v>22</v>
      </c>
      <c r="D923" s="3">
        <v>45947</v>
      </c>
      <c r="H923" s="23" t="str">
        <f t="shared" si="14"/>
        <v>Not Delivered</v>
      </c>
      <c r="I923" s="2" t="s">
        <v>23</v>
      </c>
      <c r="J923" s="2" t="s">
        <v>24</v>
      </c>
      <c r="L923">
        <v>0</v>
      </c>
      <c r="M923">
        <v>0</v>
      </c>
      <c r="N923">
        <v>0</v>
      </c>
      <c r="O923" t="s">
        <v>1080</v>
      </c>
      <c r="P923" s="24" t="str" cm="1">
        <f t="array" ref="P923">_xlfn.IFS(O923&lt;=6,"Detractors",AND(O923&gt;=7,O923&lt;=8),"Passives",AND(O923&gt;8,O923&lt;=10),"Promoters",O923="Not Available","NA")</f>
        <v>NA</v>
      </c>
    </row>
    <row r="924" spans="1:16" ht="14.25" customHeight="1" x14ac:dyDescent="0.3">
      <c r="A924" s="2" t="s">
        <v>950</v>
      </c>
      <c r="B924" s="2" t="s">
        <v>21</v>
      </c>
      <c r="C924" s="2" t="s">
        <v>16</v>
      </c>
      <c r="D924" s="3">
        <v>45934</v>
      </c>
      <c r="E924" s="3">
        <v>45937</v>
      </c>
      <c r="F924" s="3">
        <v>45939</v>
      </c>
      <c r="G924" s="3">
        <v>45942</v>
      </c>
      <c r="H924" s="23" t="str">
        <f t="shared" si="14"/>
        <v>Delivered</v>
      </c>
      <c r="I924" s="2" t="s">
        <v>17</v>
      </c>
      <c r="J924" s="24" t="s">
        <v>1054</v>
      </c>
      <c r="K924" s="3">
        <v>45965</v>
      </c>
      <c r="L924" s="2">
        <v>3</v>
      </c>
      <c r="M924" s="2">
        <v>2</v>
      </c>
      <c r="N924" s="2">
        <v>3</v>
      </c>
      <c r="O924" s="36">
        <v>6</v>
      </c>
      <c r="P924" s="24" t="str" cm="1">
        <f t="array" ref="P924">_xlfn.IFS(O924&lt;=6,"Detractors",AND(O924&gt;=7,O924&lt;=8),"Passives",AND(O924&gt;8,O924&lt;=10),"Promoters",O924="Not Available","NA")</f>
        <v>Detractors</v>
      </c>
    </row>
    <row r="925" spans="1:16" ht="14.25" customHeight="1" x14ac:dyDescent="0.3">
      <c r="A925" s="2" t="s">
        <v>951</v>
      </c>
      <c r="B925" s="2" t="s">
        <v>21</v>
      </c>
      <c r="C925" s="2" t="s">
        <v>16</v>
      </c>
      <c r="D925" s="3">
        <v>45954</v>
      </c>
      <c r="E925" s="3">
        <v>45959</v>
      </c>
      <c r="F925" s="3">
        <v>45964</v>
      </c>
      <c r="G925" s="3">
        <v>45969</v>
      </c>
      <c r="H925" s="23" t="str">
        <f t="shared" si="14"/>
        <v>Delivered</v>
      </c>
      <c r="I925" s="2" t="s">
        <v>17</v>
      </c>
      <c r="J925" s="24" t="s">
        <v>1054</v>
      </c>
      <c r="K925" s="3">
        <v>45982</v>
      </c>
      <c r="L925" s="2">
        <v>5</v>
      </c>
      <c r="M925" s="2">
        <v>5</v>
      </c>
      <c r="N925" s="2">
        <v>5</v>
      </c>
      <c r="O925" s="36">
        <v>6</v>
      </c>
      <c r="P925" s="24" t="str" cm="1">
        <f t="array" ref="P925">_xlfn.IFS(O925&lt;=6,"Detractors",AND(O925&gt;=7,O925&lt;=8),"Passives",AND(O925&gt;8,O925&lt;=10),"Promoters",O925="Not Available","NA")</f>
        <v>Detractors</v>
      </c>
    </row>
    <row r="926" spans="1:16" ht="14.25" customHeight="1" x14ac:dyDescent="0.3">
      <c r="A926" s="42" t="s">
        <v>952</v>
      </c>
      <c r="B926" s="2" t="s">
        <v>32</v>
      </c>
      <c r="C926" s="2" t="s">
        <v>30</v>
      </c>
      <c r="D926" s="3">
        <v>45933</v>
      </c>
      <c r="E926" s="3">
        <v>45934</v>
      </c>
      <c r="F926" s="3">
        <v>45935</v>
      </c>
      <c r="G926" s="3">
        <v>45938</v>
      </c>
      <c r="H926" s="23" t="str">
        <f t="shared" si="14"/>
        <v>Delivered</v>
      </c>
      <c r="I926" s="2" t="s">
        <v>17</v>
      </c>
      <c r="J926" s="24" t="s">
        <v>1054</v>
      </c>
      <c r="K926" s="3">
        <v>45951</v>
      </c>
      <c r="L926" s="2">
        <v>1</v>
      </c>
      <c r="M926" s="2">
        <v>1</v>
      </c>
      <c r="N926" s="2">
        <v>3</v>
      </c>
      <c r="O926" s="36">
        <v>6</v>
      </c>
      <c r="P926" s="24" t="str" cm="1">
        <f t="array" ref="P926">_xlfn.IFS(O926&lt;=6,"Detractors",AND(O926&gt;=7,O926&lt;=8),"Passives",AND(O926&gt;8,O926&lt;=10),"Promoters",O926="Not Available","NA")</f>
        <v>Detractors</v>
      </c>
    </row>
    <row r="927" spans="1:16" ht="14.25" customHeight="1" x14ac:dyDescent="0.3">
      <c r="A927" s="42" t="s">
        <v>953</v>
      </c>
      <c r="B927" s="2" t="s">
        <v>21</v>
      </c>
      <c r="C927" s="2" t="s">
        <v>30</v>
      </c>
      <c r="D927" s="3">
        <v>45946</v>
      </c>
      <c r="E927" s="3">
        <v>45947</v>
      </c>
      <c r="F927" s="3">
        <v>45952</v>
      </c>
      <c r="G927" s="3">
        <v>45959</v>
      </c>
      <c r="H927" s="23" t="str">
        <f t="shared" si="14"/>
        <v>Delivered</v>
      </c>
      <c r="I927" s="2" t="s">
        <v>17</v>
      </c>
      <c r="J927" s="24" t="s">
        <v>1054</v>
      </c>
      <c r="K927" s="3">
        <v>45970</v>
      </c>
      <c r="L927" s="2">
        <v>1</v>
      </c>
      <c r="M927" s="2">
        <v>5</v>
      </c>
      <c r="N927" s="2">
        <v>7</v>
      </c>
      <c r="O927" s="36">
        <v>2</v>
      </c>
      <c r="P927" s="24" t="str" cm="1">
        <f t="array" ref="P927">_xlfn.IFS(O927&lt;=6,"Detractors",AND(O927&gt;=7,O927&lt;=8),"Passives",AND(O927&gt;8,O927&lt;=10),"Promoters",O927="Not Available","NA")</f>
        <v>Detractors</v>
      </c>
    </row>
    <row r="928" spans="1:16" ht="14.25" customHeight="1" x14ac:dyDescent="0.3">
      <c r="A928" s="2" t="s">
        <v>954</v>
      </c>
      <c r="B928" s="2" t="s">
        <v>19</v>
      </c>
      <c r="C928" s="2" t="s">
        <v>16</v>
      </c>
      <c r="D928" s="3">
        <v>45945</v>
      </c>
      <c r="E928" s="3">
        <v>45949</v>
      </c>
      <c r="F928" s="3">
        <v>45953</v>
      </c>
      <c r="G928" s="3">
        <v>45959</v>
      </c>
      <c r="H928" s="23" t="str">
        <f t="shared" si="14"/>
        <v>Delivered</v>
      </c>
      <c r="I928" s="2" t="s">
        <v>17</v>
      </c>
      <c r="J928" s="24" t="s">
        <v>1054</v>
      </c>
      <c r="K928" s="3">
        <v>45969</v>
      </c>
      <c r="L928" s="2">
        <v>4</v>
      </c>
      <c r="M928" s="2">
        <v>4</v>
      </c>
      <c r="N928" s="2">
        <v>6</v>
      </c>
      <c r="O928" s="36">
        <v>7</v>
      </c>
      <c r="P928" s="24" t="str" cm="1">
        <f t="array" ref="P928">_xlfn.IFS(O928&lt;=6,"Detractors",AND(O928&gt;=7,O928&lt;=8),"Passives",AND(O928&gt;8,O928&lt;=10),"Promoters",O928="Not Available","NA")</f>
        <v>Passives</v>
      </c>
    </row>
    <row r="929" spans="1:16" ht="14.25" customHeight="1" x14ac:dyDescent="0.3">
      <c r="A929" s="2" t="s">
        <v>955</v>
      </c>
      <c r="B929" s="2" t="s">
        <v>19</v>
      </c>
      <c r="C929" s="2" t="s">
        <v>30</v>
      </c>
      <c r="D929" s="3">
        <v>45955</v>
      </c>
      <c r="E929" s="3">
        <v>45957</v>
      </c>
      <c r="F929" s="3">
        <v>45960</v>
      </c>
      <c r="G929" s="3">
        <v>45963</v>
      </c>
      <c r="H929" s="23" t="str">
        <f t="shared" si="14"/>
        <v>Delivered</v>
      </c>
      <c r="I929" s="2" t="s">
        <v>23</v>
      </c>
      <c r="J929" s="2" t="s">
        <v>63</v>
      </c>
      <c r="L929" s="2">
        <v>2</v>
      </c>
      <c r="M929" s="2">
        <v>3</v>
      </c>
      <c r="N929" s="2">
        <v>3</v>
      </c>
      <c r="O929" t="s">
        <v>1080</v>
      </c>
      <c r="P929" s="24" t="str" cm="1">
        <f t="array" ref="P929">_xlfn.IFS(O929&lt;=6,"Detractors",AND(O929&gt;=7,O929&lt;=8),"Passives",AND(O929&gt;8,O929&lt;=10),"Promoters",O929="Not Available","NA")</f>
        <v>NA</v>
      </c>
    </row>
    <row r="930" spans="1:16" ht="14.25" customHeight="1" x14ac:dyDescent="0.3">
      <c r="A930" s="2" t="s">
        <v>956</v>
      </c>
      <c r="B930" s="2" t="s">
        <v>21</v>
      </c>
      <c r="C930" s="2" t="s">
        <v>16</v>
      </c>
      <c r="D930" s="3">
        <v>45942</v>
      </c>
      <c r="E930" s="3">
        <v>45945</v>
      </c>
      <c r="F930" s="3">
        <v>45949</v>
      </c>
      <c r="G930" s="3">
        <v>45956</v>
      </c>
      <c r="H930" s="23" t="str">
        <f t="shared" si="14"/>
        <v>Delivered</v>
      </c>
      <c r="I930" s="2" t="s">
        <v>17</v>
      </c>
      <c r="J930" s="24" t="s">
        <v>1054</v>
      </c>
      <c r="K930" s="3">
        <v>45970</v>
      </c>
      <c r="L930" s="2">
        <v>3</v>
      </c>
      <c r="M930" s="2">
        <v>4</v>
      </c>
      <c r="N930" s="2">
        <v>7</v>
      </c>
      <c r="O930" s="36">
        <v>8</v>
      </c>
      <c r="P930" s="24" t="str" cm="1">
        <f t="array" ref="P930">_xlfn.IFS(O930&lt;=6,"Detractors",AND(O930&gt;=7,O930&lt;=8),"Passives",AND(O930&gt;8,O930&lt;=10),"Promoters",O930="Not Available","NA")</f>
        <v>Passives</v>
      </c>
    </row>
    <row r="931" spans="1:16" ht="14.25" customHeight="1" x14ac:dyDescent="0.3">
      <c r="A931" s="2" t="s">
        <v>957</v>
      </c>
      <c r="B931" s="2" t="s">
        <v>21</v>
      </c>
      <c r="C931" s="2" t="s">
        <v>16</v>
      </c>
      <c r="D931" s="3">
        <v>45947</v>
      </c>
      <c r="E931" s="3">
        <v>45950</v>
      </c>
      <c r="F931" s="3">
        <v>45951</v>
      </c>
      <c r="G931" s="3">
        <v>45957</v>
      </c>
      <c r="H931" s="23" t="str">
        <f t="shared" si="14"/>
        <v>Delivered</v>
      </c>
      <c r="I931" s="2" t="s">
        <v>17</v>
      </c>
      <c r="J931" s="24" t="s">
        <v>1054</v>
      </c>
      <c r="K931" s="3">
        <v>45987</v>
      </c>
      <c r="L931" s="2">
        <v>3</v>
      </c>
      <c r="M931" s="2">
        <v>1</v>
      </c>
      <c r="N931" s="2">
        <v>6</v>
      </c>
      <c r="O931" s="36">
        <v>1</v>
      </c>
      <c r="P931" s="24" t="str" cm="1">
        <f t="array" ref="P931">_xlfn.IFS(O931&lt;=6,"Detractors",AND(O931&gt;=7,O931&lt;=8),"Passives",AND(O931&gt;8,O931&lt;=10),"Promoters",O931="Not Available","NA")</f>
        <v>Detractors</v>
      </c>
    </row>
    <row r="932" spans="1:16" ht="14.25" customHeight="1" x14ac:dyDescent="0.3">
      <c r="A932" s="2" t="s">
        <v>958</v>
      </c>
      <c r="B932" s="2" t="s">
        <v>32</v>
      </c>
      <c r="C932" s="2" t="s">
        <v>16</v>
      </c>
      <c r="D932" s="3">
        <v>45949</v>
      </c>
      <c r="E932" s="3">
        <v>45953</v>
      </c>
      <c r="F932" s="3">
        <v>45954</v>
      </c>
      <c r="G932" s="3">
        <v>45956</v>
      </c>
      <c r="H932" s="23" t="str">
        <f t="shared" si="14"/>
        <v>Delivered</v>
      </c>
      <c r="I932" s="2" t="s">
        <v>17</v>
      </c>
      <c r="J932" s="24" t="s">
        <v>1054</v>
      </c>
      <c r="K932" s="3">
        <v>45971</v>
      </c>
      <c r="L932" s="2">
        <v>4</v>
      </c>
      <c r="M932" s="2">
        <v>1</v>
      </c>
      <c r="N932" s="2">
        <v>2</v>
      </c>
      <c r="O932" s="36">
        <v>7</v>
      </c>
      <c r="P932" s="24" t="str" cm="1">
        <f t="array" ref="P932">_xlfn.IFS(O932&lt;=6,"Detractors",AND(O932&gt;=7,O932&lt;=8),"Passives",AND(O932&gt;8,O932&lt;=10),"Promoters",O932="Not Available","NA")</f>
        <v>Passives</v>
      </c>
    </row>
    <row r="933" spans="1:16" ht="14.25" customHeight="1" x14ac:dyDescent="0.3">
      <c r="A933" s="42" t="s">
        <v>959</v>
      </c>
      <c r="B933" s="2" t="s">
        <v>19</v>
      </c>
      <c r="C933" s="2" t="s">
        <v>30</v>
      </c>
      <c r="D933" s="3">
        <v>45934</v>
      </c>
      <c r="E933" s="3">
        <v>45937</v>
      </c>
      <c r="F933" s="3">
        <v>45938</v>
      </c>
      <c r="G933" s="3">
        <v>45943</v>
      </c>
      <c r="H933" s="23" t="str">
        <f t="shared" si="14"/>
        <v>Delivered</v>
      </c>
      <c r="I933" s="2" t="s">
        <v>17</v>
      </c>
      <c r="J933" s="24" t="s">
        <v>1054</v>
      </c>
      <c r="K933" s="3">
        <v>45963</v>
      </c>
      <c r="L933" s="2">
        <v>3</v>
      </c>
      <c r="M933" s="2">
        <v>1</v>
      </c>
      <c r="N933" s="2">
        <v>5</v>
      </c>
      <c r="O933" s="36">
        <v>9</v>
      </c>
      <c r="P933" s="24" t="str" cm="1">
        <f t="array" ref="P933">_xlfn.IFS(O933&lt;=6,"Detractors",AND(O933&gt;=7,O933&lt;=8),"Passives",AND(O933&gt;8,O933&lt;=10),"Promoters",O933="Not Available","NA")</f>
        <v>Promoters</v>
      </c>
    </row>
    <row r="934" spans="1:16" ht="14.25" customHeight="1" x14ac:dyDescent="0.3">
      <c r="A934" s="2" t="s">
        <v>960</v>
      </c>
      <c r="B934" s="2" t="s">
        <v>19</v>
      </c>
      <c r="C934" s="2" t="s">
        <v>16</v>
      </c>
      <c r="D934" s="3">
        <v>45945</v>
      </c>
      <c r="E934" s="3">
        <v>45946</v>
      </c>
      <c r="F934" s="3">
        <v>45949</v>
      </c>
      <c r="G934" s="3">
        <v>45956</v>
      </c>
      <c r="H934" s="23" t="str">
        <f t="shared" si="14"/>
        <v>Delivered</v>
      </c>
      <c r="I934" s="2" t="s">
        <v>17</v>
      </c>
      <c r="J934" s="24" t="s">
        <v>1054</v>
      </c>
      <c r="K934" s="3">
        <v>45977</v>
      </c>
      <c r="L934" s="2">
        <v>1</v>
      </c>
      <c r="M934" s="2">
        <v>3</v>
      </c>
      <c r="N934" s="2">
        <v>7</v>
      </c>
      <c r="O934" s="36">
        <v>2</v>
      </c>
      <c r="P934" s="24" t="str" cm="1">
        <f t="array" ref="P934">_xlfn.IFS(O934&lt;=6,"Detractors",AND(O934&gt;=7,O934&lt;=8),"Passives",AND(O934&gt;8,O934&lt;=10),"Promoters",O934="Not Available","NA")</f>
        <v>Detractors</v>
      </c>
    </row>
    <row r="935" spans="1:16" ht="14.25" customHeight="1" x14ac:dyDescent="0.3">
      <c r="A935" s="2" t="s">
        <v>961</v>
      </c>
      <c r="B935" s="2" t="s">
        <v>15</v>
      </c>
      <c r="C935" s="2" t="s">
        <v>16</v>
      </c>
      <c r="D935" s="3">
        <v>45947</v>
      </c>
      <c r="E935" s="3">
        <v>45951</v>
      </c>
      <c r="F935" s="3">
        <v>45953</v>
      </c>
      <c r="G935" s="3">
        <v>45957</v>
      </c>
      <c r="H935" s="23" t="str">
        <f t="shared" si="14"/>
        <v>Delivered</v>
      </c>
      <c r="I935" s="2" t="s">
        <v>23</v>
      </c>
      <c r="J935" s="2" t="s">
        <v>33</v>
      </c>
      <c r="L935" s="2">
        <v>4</v>
      </c>
      <c r="M935" s="2">
        <v>2</v>
      </c>
      <c r="N935" s="2">
        <v>4</v>
      </c>
      <c r="O935" t="s">
        <v>1080</v>
      </c>
      <c r="P935" s="24" t="str" cm="1">
        <f t="array" ref="P935">_xlfn.IFS(O935&lt;=6,"Detractors",AND(O935&gt;=7,O935&lt;=8),"Passives",AND(O935&gt;8,O935&lt;=10),"Promoters",O935="Not Available","NA")</f>
        <v>NA</v>
      </c>
    </row>
    <row r="936" spans="1:16" ht="14.25" customHeight="1" x14ac:dyDescent="0.3">
      <c r="A936" s="42" t="s">
        <v>962</v>
      </c>
      <c r="B936" s="2" t="s">
        <v>32</v>
      </c>
      <c r="C936" s="2" t="s">
        <v>30</v>
      </c>
      <c r="D936" s="3">
        <v>45938</v>
      </c>
      <c r="E936" s="3">
        <v>45939</v>
      </c>
      <c r="F936" s="3">
        <v>45944</v>
      </c>
      <c r="G936" s="3">
        <v>45949</v>
      </c>
      <c r="H936" s="23" t="str">
        <f t="shared" si="14"/>
        <v>Delivered</v>
      </c>
      <c r="I936" s="2" t="s">
        <v>17</v>
      </c>
      <c r="J936" s="24" t="s">
        <v>1054</v>
      </c>
      <c r="K936" s="3">
        <v>45973</v>
      </c>
      <c r="L936" s="2">
        <v>1</v>
      </c>
      <c r="M936" s="2">
        <v>5</v>
      </c>
      <c r="N936" s="2">
        <v>5</v>
      </c>
      <c r="O936" s="36">
        <v>9</v>
      </c>
      <c r="P936" s="24" t="str" cm="1">
        <f t="array" ref="P936">_xlfn.IFS(O936&lt;=6,"Detractors",AND(O936&gt;=7,O936&lt;=8),"Passives",AND(O936&gt;8,O936&lt;=10),"Promoters",O936="Not Available","NA")</f>
        <v>Promoters</v>
      </c>
    </row>
    <row r="937" spans="1:16" ht="14.25" customHeight="1" x14ac:dyDescent="0.3">
      <c r="A937" s="2" t="s">
        <v>963</v>
      </c>
      <c r="B937" s="2" t="s">
        <v>15</v>
      </c>
      <c r="C937" s="2" t="s">
        <v>16</v>
      </c>
      <c r="D937" s="3">
        <v>45961</v>
      </c>
      <c r="E937" s="3">
        <v>45966</v>
      </c>
      <c r="F937" s="3">
        <v>45971</v>
      </c>
      <c r="G937" s="3">
        <v>45977</v>
      </c>
      <c r="H937" s="23" t="str">
        <f t="shared" si="14"/>
        <v>Delivered</v>
      </c>
      <c r="I937" s="2" t="s">
        <v>17</v>
      </c>
      <c r="J937" s="24" t="s">
        <v>1054</v>
      </c>
      <c r="K937" s="3">
        <v>46006</v>
      </c>
      <c r="L937" s="2">
        <v>5</v>
      </c>
      <c r="M937" s="2">
        <v>5</v>
      </c>
      <c r="N937" s="2">
        <v>6</v>
      </c>
      <c r="O937" s="36">
        <v>2</v>
      </c>
      <c r="P937" s="24" t="str" cm="1">
        <f t="array" ref="P937">_xlfn.IFS(O937&lt;=6,"Detractors",AND(O937&gt;=7,O937&lt;=8),"Passives",AND(O937&gt;8,O937&lt;=10),"Promoters",O937="Not Available","NA")</f>
        <v>Detractors</v>
      </c>
    </row>
    <row r="938" spans="1:16" ht="14.25" customHeight="1" x14ac:dyDescent="0.3">
      <c r="A938" s="2" t="s">
        <v>964</v>
      </c>
      <c r="B938" s="2" t="s">
        <v>19</v>
      </c>
      <c r="C938" s="2" t="s">
        <v>16</v>
      </c>
      <c r="D938" s="3">
        <v>45950</v>
      </c>
      <c r="E938" s="3">
        <v>45955</v>
      </c>
      <c r="F938" s="3">
        <v>45960</v>
      </c>
      <c r="G938" s="3">
        <v>45965</v>
      </c>
      <c r="H938" s="23" t="str">
        <f t="shared" si="14"/>
        <v>Delivered</v>
      </c>
      <c r="I938" s="2" t="s">
        <v>17</v>
      </c>
      <c r="J938" s="24" t="s">
        <v>1054</v>
      </c>
      <c r="K938" s="3">
        <v>45983</v>
      </c>
      <c r="L938" s="2">
        <v>5</v>
      </c>
      <c r="M938" s="2">
        <v>5</v>
      </c>
      <c r="N938" s="2">
        <v>5</v>
      </c>
      <c r="O938" s="36">
        <v>4</v>
      </c>
      <c r="P938" s="24" t="str" cm="1">
        <f t="array" ref="P938">_xlfn.IFS(O938&lt;=6,"Detractors",AND(O938&gt;=7,O938&lt;=8),"Passives",AND(O938&gt;8,O938&lt;=10),"Promoters",O938="Not Available","NA")</f>
        <v>Detractors</v>
      </c>
    </row>
    <row r="939" spans="1:16" ht="14.25" customHeight="1" x14ac:dyDescent="0.3">
      <c r="A939" s="2" t="s">
        <v>965</v>
      </c>
      <c r="B939" s="2" t="s">
        <v>32</v>
      </c>
      <c r="C939" s="2" t="s">
        <v>22</v>
      </c>
      <c r="D939" s="3">
        <v>45932</v>
      </c>
      <c r="H939" s="23" t="str">
        <f t="shared" si="14"/>
        <v>Not Delivered</v>
      </c>
      <c r="I939" s="2" t="s">
        <v>23</v>
      </c>
      <c r="J939" s="2" t="s">
        <v>101</v>
      </c>
      <c r="L939">
        <v>0</v>
      </c>
      <c r="M939">
        <v>0</v>
      </c>
      <c r="N939">
        <v>0</v>
      </c>
      <c r="O939" t="s">
        <v>1080</v>
      </c>
      <c r="P939" s="24" t="str" cm="1">
        <f t="array" ref="P939">_xlfn.IFS(O939&lt;=6,"Detractors",AND(O939&gt;=7,O939&lt;=8),"Passives",AND(O939&gt;8,O939&lt;=10),"Promoters",O939="Not Available","NA")</f>
        <v>NA</v>
      </c>
    </row>
    <row r="940" spans="1:16" ht="14.25" customHeight="1" x14ac:dyDescent="0.3">
      <c r="A940" s="42" t="s">
        <v>966</v>
      </c>
      <c r="B940" s="2" t="s">
        <v>21</v>
      </c>
      <c r="C940" s="2" t="s">
        <v>30</v>
      </c>
      <c r="D940" s="3">
        <v>45954</v>
      </c>
      <c r="E940" s="3">
        <v>45956</v>
      </c>
      <c r="F940" s="3">
        <v>45961</v>
      </c>
      <c r="G940" s="3">
        <v>45965</v>
      </c>
      <c r="H940" s="23" t="str">
        <f t="shared" si="14"/>
        <v>Delivered</v>
      </c>
      <c r="I940" s="2" t="s">
        <v>17</v>
      </c>
      <c r="J940" s="24" t="s">
        <v>1054</v>
      </c>
      <c r="K940" s="3">
        <v>45977</v>
      </c>
      <c r="L940" s="2">
        <v>2</v>
      </c>
      <c r="M940" s="2">
        <v>5</v>
      </c>
      <c r="N940" s="2">
        <v>4</v>
      </c>
      <c r="O940" s="36">
        <v>7</v>
      </c>
      <c r="P940" s="24" t="str" cm="1">
        <f t="array" ref="P940">_xlfn.IFS(O940&lt;=6,"Detractors",AND(O940&gt;=7,O940&lt;=8),"Passives",AND(O940&gt;8,O940&lt;=10),"Promoters",O940="Not Available","NA")</f>
        <v>Passives</v>
      </c>
    </row>
    <row r="941" spans="1:16" ht="14.25" customHeight="1" x14ac:dyDescent="0.3">
      <c r="A941" s="2" t="s">
        <v>967</v>
      </c>
      <c r="B941" s="2" t="s">
        <v>32</v>
      </c>
      <c r="C941" s="2" t="s">
        <v>22</v>
      </c>
      <c r="D941" s="3">
        <v>45956</v>
      </c>
      <c r="H941" s="23" t="str">
        <f t="shared" si="14"/>
        <v>Not Delivered</v>
      </c>
      <c r="I941" s="2" t="s">
        <v>23</v>
      </c>
      <c r="J941" s="2" t="s">
        <v>101</v>
      </c>
      <c r="L941">
        <v>0</v>
      </c>
      <c r="M941">
        <v>0</v>
      </c>
      <c r="N941">
        <v>0</v>
      </c>
      <c r="O941" t="s">
        <v>1080</v>
      </c>
      <c r="P941" s="24" t="str" cm="1">
        <f t="array" ref="P941">_xlfn.IFS(O941&lt;=6,"Detractors",AND(O941&gt;=7,O941&lt;=8),"Passives",AND(O941&gt;8,O941&lt;=10),"Promoters",O941="Not Available","NA")</f>
        <v>NA</v>
      </c>
    </row>
    <row r="942" spans="1:16" ht="14.25" customHeight="1" x14ac:dyDescent="0.3">
      <c r="A942" s="2" t="s">
        <v>968</v>
      </c>
      <c r="B942" s="2" t="s">
        <v>21</v>
      </c>
      <c r="C942" s="2" t="s">
        <v>16</v>
      </c>
      <c r="D942" s="3">
        <v>45960</v>
      </c>
      <c r="E942" s="3">
        <v>45963</v>
      </c>
      <c r="F942" s="3">
        <v>45968</v>
      </c>
      <c r="G942" s="3">
        <v>45974</v>
      </c>
      <c r="H942" s="23" t="str">
        <f t="shared" si="14"/>
        <v>Delivered</v>
      </c>
      <c r="I942" s="2" t="s">
        <v>17</v>
      </c>
      <c r="J942" s="24" t="s">
        <v>1054</v>
      </c>
      <c r="K942" s="3">
        <v>45995</v>
      </c>
      <c r="L942" s="2">
        <v>3</v>
      </c>
      <c r="M942" s="2">
        <v>5</v>
      </c>
      <c r="N942" s="2">
        <v>6</v>
      </c>
      <c r="O942" s="36">
        <v>8</v>
      </c>
      <c r="P942" s="24" t="str" cm="1">
        <f t="array" ref="P942">_xlfn.IFS(O942&lt;=6,"Detractors",AND(O942&gt;=7,O942&lt;=8),"Passives",AND(O942&gt;8,O942&lt;=10),"Promoters",O942="Not Available","NA")</f>
        <v>Passives</v>
      </c>
    </row>
    <row r="943" spans="1:16" ht="14.25" customHeight="1" x14ac:dyDescent="0.3">
      <c r="A943" s="2" t="s">
        <v>969</v>
      </c>
      <c r="B943" s="2" t="s">
        <v>21</v>
      </c>
      <c r="C943" s="2" t="s">
        <v>16</v>
      </c>
      <c r="D943" s="3">
        <v>45958</v>
      </c>
      <c r="E943" s="3">
        <v>45963</v>
      </c>
      <c r="F943" s="3">
        <v>45965</v>
      </c>
      <c r="G943" s="3">
        <v>45971</v>
      </c>
      <c r="H943" s="23" t="str">
        <f t="shared" si="14"/>
        <v>Delivered</v>
      </c>
      <c r="I943" s="2" t="s">
        <v>17</v>
      </c>
      <c r="J943" s="24" t="s">
        <v>1054</v>
      </c>
      <c r="K943" s="3">
        <v>45991</v>
      </c>
      <c r="L943" s="2">
        <v>5</v>
      </c>
      <c r="M943" s="2">
        <v>2</v>
      </c>
      <c r="N943" s="2">
        <v>6</v>
      </c>
      <c r="O943" s="36">
        <v>5</v>
      </c>
      <c r="P943" s="24" t="str" cm="1">
        <f t="array" ref="P943">_xlfn.IFS(O943&lt;=6,"Detractors",AND(O943&gt;=7,O943&lt;=8),"Passives",AND(O943&gt;8,O943&lt;=10),"Promoters",O943="Not Available","NA")</f>
        <v>Detractors</v>
      </c>
    </row>
    <row r="944" spans="1:16" ht="14.25" customHeight="1" x14ac:dyDescent="0.3">
      <c r="A944" s="42" t="s">
        <v>970</v>
      </c>
      <c r="B944" s="2" t="s">
        <v>32</v>
      </c>
      <c r="C944" s="2" t="s">
        <v>30</v>
      </c>
      <c r="D944" s="3">
        <v>45952</v>
      </c>
      <c r="E944" s="3">
        <v>45955</v>
      </c>
      <c r="F944" s="3">
        <v>45959</v>
      </c>
      <c r="G944" s="3">
        <v>45963</v>
      </c>
      <c r="H944" s="23" t="str">
        <f t="shared" si="14"/>
        <v>Delivered</v>
      </c>
      <c r="I944" s="2" t="s">
        <v>17</v>
      </c>
      <c r="J944" s="24" t="s">
        <v>1054</v>
      </c>
      <c r="K944" s="3">
        <v>45978</v>
      </c>
      <c r="L944" s="2">
        <v>3</v>
      </c>
      <c r="M944" s="2">
        <v>4</v>
      </c>
      <c r="N944" s="2">
        <v>4</v>
      </c>
      <c r="O944" s="36">
        <v>4</v>
      </c>
      <c r="P944" s="24" t="str" cm="1">
        <f t="array" ref="P944">_xlfn.IFS(O944&lt;=6,"Detractors",AND(O944&gt;=7,O944&lt;=8),"Passives",AND(O944&gt;8,O944&lt;=10),"Promoters",O944="Not Available","NA")</f>
        <v>Detractors</v>
      </c>
    </row>
    <row r="945" spans="1:16" ht="14.25" customHeight="1" x14ac:dyDescent="0.3">
      <c r="A945" s="2" t="s">
        <v>971</v>
      </c>
      <c r="B945" s="2" t="s">
        <v>21</v>
      </c>
      <c r="C945" s="2" t="s">
        <v>16</v>
      </c>
      <c r="D945" s="3">
        <v>45947</v>
      </c>
      <c r="E945" s="3">
        <v>45948</v>
      </c>
      <c r="F945" s="3">
        <v>45951</v>
      </c>
      <c r="G945" s="3">
        <v>45956</v>
      </c>
      <c r="H945" s="23" t="str">
        <f t="shared" si="14"/>
        <v>Delivered</v>
      </c>
      <c r="I945" s="2" t="s">
        <v>17</v>
      </c>
      <c r="J945" s="24" t="s">
        <v>1054</v>
      </c>
      <c r="K945" s="3">
        <v>45969</v>
      </c>
      <c r="L945" s="2">
        <v>1</v>
      </c>
      <c r="M945" s="2">
        <v>3</v>
      </c>
      <c r="N945" s="2">
        <v>5</v>
      </c>
      <c r="O945" s="36">
        <v>2</v>
      </c>
      <c r="P945" s="24" t="str" cm="1">
        <f t="array" ref="P945">_xlfn.IFS(O945&lt;=6,"Detractors",AND(O945&gt;=7,O945&lt;=8),"Passives",AND(O945&gt;8,O945&lt;=10),"Promoters",O945="Not Available","NA")</f>
        <v>Detractors</v>
      </c>
    </row>
    <row r="946" spans="1:16" ht="14.25" customHeight="1" x14ac:dyDescent="0.3">
      <c r="A946" s="42" t="s">
        <v>972</v>
      </c>
      <c r="B946" s="2" t="s">
        <v>15</v>
      </c>
      <c r="C946" s="2" t="s">
        <v>30</v>
      </c>
      <c r="D946" s="3">
        <v>45940</v>
      </c>
      <c r="E946" s="3">
        <v>45944</v>
      </c>
      <c r="F946" s="3">
        <v>45948</v>
      </c>
      <c r="G946" s="3">
        <v>45952</v>
      </c>
      <c r="H946" s="23" t="str">
        <f t="shared" si="14"/>
        <v>Delivered</v>
      </c>
      <c r="I946" s="2" t="s">
        <v>17</v>
      </c>
      <c r="J946" s="24" t="s">
        <v>1054</v>
      </c>
      <c r="K946" s="3">
        <v>45974</v>
      </c>
      <c r="L946" s="2">
        <v>4</v>
      </c>
      <c r="M946" s="2">
        <v>4</v>
      </c>
      <c r="N946" s="2">
        <v>4</v>
      </c>
      <c r="O946" s="36">
        <v>3</v>
      </c>
      <c r="P946" s="24" t="str" cm="1">
        <f t="array" ref="P946">_xlfn.IFS(O946&lt;=6,"Detractors",AND(O946&gt;=7,O946&lt;=8),"Passives",AND(O946&gt;8,O946&lt;=10),"Promoters",O946="Not Available","NA")</f>
        <v>Detractors</v>
      </c>
    </row>
    <row r="947" spans="1:16" ht="14.25" customHeight="1" x14ac:dyDescent="0.3">
      <c r="A947" s="2" t="s">
        <v>973</v>
      </c>
      <c r="B947" s="2" t="s">
        <v>19</v>
      </c>
      <c r="C947" s="2" t="s">
        <v>16</v>
      </c>
      <c r="D947" s="3">
        <v>45945</v>
      </c>
      <c r="E947" s="3">
        <v>45950</v>
      </c>
      <c r="F947" s="3">
        <v>45954</v>
      </c>
      <c r="G947" s="3">
        <v>45957</v>
      </c>
      <c r="H947" s="23" t="str">
        <f t="shared" si="14"/>
        <v>Delivered</v>
      </c>
      <c r="I947" s="2" t="s">
        <v>17</v>
      </c>
      <c r="J947" s="24" t="s">
        <v>1054</v>
      </c>
      <c r="K947" s="3">
        <v>45979</v>
      </c>
      <c r="L947" s="2">
        <v>5</v>
      </c>
      <c r="M947" s="2">
        <v>4</v>
      </c>
      <c r="N947" s="2">
        <v>3</v>
      </c>
      <c r="O947" s="36">
        <v>6</v>
      </c>
      <c r="P947" s="24" t="str" cm="1">
        <f t="array" ref="P947">_xlfn.IFS(O947&lt;=6,"Detractors",AND(O947&gt;=7,O947&lt;=8),"Passives",AND(O947&gt;8,O947&lt;=10),"Promoters",O947="Not Available","NA")</f>
        <v>Detractors</v>
      </c>
    </row>
    <row r="948" spans="1:16" ht="14.25" customHeight="1" x14ac:dyDescent="0.3">
      <c r="A948" s="42" t="s">
        <v>974</v>
      </c>
      <c r="B948" s="2" t="s">
        <v>21</v>
      </c>
      <c r="C948" s="2" t="s">
        <v>30</v>
      </c>
      <c r="D948" s="3">
        <v>45951</v>
      </c>
      <c r="E948" s="3">
        <v>45955</v>
      </c>
      <c r="F948" s="3">
        <v>45960</v>
      </c>
      <c r="G948" s="3">
        <v>45962</v>
      </c>
      <c r="H948" s="23" t="str">
        <f t="shared" si="14"/>
        <v>Delivered</v>
      </c>
      <c r="I948" s="2" t="s">
        <v>17</v>
      </c>
      <c r="J948" s="24" t="s">
        <v>1054</v>
      </c>
      <c r="K948" s="3">
        <v>45986</v>
      </c>
      <c r="L948" s="2">
        <v>4</v>
      </c>
      <c r="M948" s="2">
        <v>5</v>
      </c>
      <c r="N948" s="2">
        <v>2</v>
      </c>
      <c r="O948" s="36">
        <v>6</v>
      </c>
      <c r="P948" s="24" t="str" cm="1">
        <f t="array" ref="P948">_xlfn.IFS(O948&lt;=6,"Detractors",AND(O948&gt;=7,O948&lt;=8),"Passives",AND(O948&gt;8,O948&lt;=10),"Promoters",O948="Not Available","NA")</f>
        <v>Detractors</v>
      </c>
    </row>
    <row r="949" spans="1:16" ht="14.25" customHeight="1" x14ac:dyDescent="0.3">
      <c r="A949" s="2" t="s">
        <v>975</v>
      </c>
      <c r="B949" s="2" t="s">
        <v>15</v>
      </c>
      <c r="C949" s="2" t="s">
        <v>22</v>
      </c>
      <c r="D949" s="3">
        <v>45961</v>
      </c>
      <c r="H949" s="23" t="str">
        <f t="shared" si="14"/>
        <v>Not Delivered</v>
      </c>
      <c r="I949" s="2" t="s">
        <v>23</v>
      </c>
      <c r="J949" s="2" t="s">
        <v>24</v>
      </c>
      <c r="L949">
        <v>0</v>
      </c>
      <c r="M949">
        <v>0</v>
      </c>
      <c r="N949">
        <v>0</v>
      </c>
      <c r="O949" t="s">
        <v>1080</v>
      </c>
      <c r="P949" s="24" t="str" cm="1">
        <f t="array" ref="P949">_xlfn.IFS(O949&lt;=6,"Detractors",AND(O949&gt;=7,O949&lt;=8),"Passives",AND(O949&gt;8,O949&lt;=10),"Promoters",O949="Not Available","NA")</f>
        <v>NA</v>
      </c>
    </row>
    <row r="950" spans="1:16" ht="14.25" customHeight="1" x14ac:dyDescent="0.3">
      <c r="A950" s="2" t="s">
        <v>976</v>
      </c>
      <c r="B950" s="2" t="s">
        <v>21</v>
      </c>
      <c r="C950" s="2" t="s">
        <v>16</v>
      </c>
      <c r="D950" s="3">
        <v>45931</v>
      </c>
      <c r="E950" s="3">
        <v>45936</v>
      </c>
      <c r="F950" s="3">
        <v>45941</v>
      </c>
      <c r="G950" s="3">
        <v>45945</v>
      </c>
      <c r="H950" s="23" t="str">
        <f t="shared" si="14"/>
        <v>Delivered</v>
      </c>
      <c r="I950" s="2" t="s">
        <v>17</v>
      </c>
      <c r="J950" s="24" t="s">
        <v>1054</v>
      </c>
      <c r="K950" s="3">
        <v>45963</v>
      </c>
      <c r="L950" s="2">
        <v>5</v>
      </c>
      <c r="M950" s="2">
        <v>5</v>
      </c>
      <c r="N950" s="2">
        <v>4</v>
      </c>
      <c r="O950" s="36">
        <v>8</v>
      </c>
      <c r="P950" s="24" t="str" cm="1">
        <f t="array" ref="P950">_xlfn.IFS(O950&lt;=6,"Detractors",AND(O950&gt;=7,O950&lt;=8),"Passives",AND(O950&gt;8,O950&lt;=10),"Promoters",O950="Not Available","NA")</f>
        <v>Passives</v>
      </c>
    </row>
    <row r="951" spans="1:16" ht="14.25" customHeight="1" x14ac:dyDescent="0.3">
      <c r="A951" s="2" t="s">
        <v>977</v>
      </c>
      <c r="B951" s="2" t="s">
        <v>19</v>
      </c>
      <c r="C951" s="2" t="s">
        <v>16</v>
      </c>
      <c r="D951" s="3">
        <v>45932</v>
      </c>
      <c r="E951" s="3">
        <v>45935</v>
      </c>
      <c r="F951" s="3">
        <v>45937</v>
      </c>
      <c r="G951" s="3">
        <v>45943</v>
      </c>
      <c r="H951" s="23" t="str">
        <f t="shared" si="14"/>
        <v>Delivered</v>
      </c>
      <c r="I951" s="2" t="s">
        <v>17</v>
      </c>
      <c r="J951" s="24" t="s">
        <v>1054</v>
      </c>
      <c r="K951" s="3">
        <v>45965</v>
      </c>
      <c r="L951" s="2">
        <v>3</v>
      </c>
      <c r="M951" s="2">
        <v>2</v>
      </c>
      <c r="N951" s="2">
        <v>6</v>
      </c>
      <c r="O951" s="36">
        <v>2</v>
      </c>
      <c r="P951" s="24" t="str" cm="1">
        <f t="array" ref="P951">_xlfn.IFS(O951&lt;=6,"Detractors",AND(O951&gt;=7,O951&lt;=8),"Passives",AND(O951&gt;8,O951&lt;=10),"Promoters",O951="Not Available","NA")</f>
        <v>Detractors</v>
      </c>
    </row>
    <row r="952" spans="1:16" ht="14.25" customHeight="1" x14ac:dyDescent="0.3">
      <c r="A952" s="42" t="s">
        <v>978</v>
      </c>
      <c r="B952" s="2" t="s">
        <v>15</v>
      </c>
      <c r="C952" s="2" t="s">
        <v>30</v>
      </c>
      <c r="D952" s="3">
        <v>45946</v>
      </c>
      <c r="E952" s="3">
        <v>45951</v>
      </c>
      <c r="F952" s="3">
        <v>45954</v>
      </c>
      <c r="G952" s="3">
        <v>45957</v>
      </c>
      <c r="H952" s="23" t="str">
        <f t="shared" si="14"/>
        <v>Delivered</v>
      </c>
      <c r="I952" s="2" t="s">
        <v>17</v>
      </c>
      <c r="J952" s="24" t="s">
        <v>1054</v>
      </c>
      <c r="K952" s="3">
        <v>45982</v>
      </c>
      <c r="L952" s="2">
        <v>5</v>
      </c>
      <c r="M952" s="2">
        <v>3</v>
      </c>
      <c r="N952" s="2">
        <v>3</v>
      </c>
      <c r="O952" s="36">
        <v>3</v>
      </c>
      <c r="P952" s="24" t="str" cm="1">
        <f t="array" ref="P952">_xlfn.IFS(O952&lt;=6,"Detractors",AND(O952&gt;=7,O952&lt;=8),"Passives",AND(O952&gt;8,O952&lt;=10),"Promoters",O952="Not Available","NA")</f>
        <v>Detractors</v>
      </c>
    </row>
    <row r="953" spans="1:16" ht="14.25" customHeight="1" x14ac:dyDescent="0.3">
      <c r="A953" s="42" t="s">
        <v>979</v>
      </c>
      <c r="B953" s="2" t="s">
        <v>19</v>
      </c>
      <c r="C953" s="2" t="s">
        <v>30</v>
      </c>
      <c r="D953" s="3">
        <v>45958</v>
      </c>
      <c r="E953" s="3">
        <v>45963</v>
      </c>
      <c r="F953" s="3">
        <v>45964</v>
      </c>
      <c r="G953" s="3">
        <v>45966</v>
      </c>
      <c r="H953" s="23" t="str">
        <f t="shared" si="14"/>
        <v>Delivered</v>
      </c>
      <c r="I953" s="2" t="s">
        <v>17</v>
      </c>
      <c r="J953" s="24" t="s">
        <v>1054</v>
      </c>
      <c r="K953" s="3">
        <v>45989</v>
      </c>
      <c r="L953" s="2">
        <v>5</v>
      </c>
      <c r="M953" s="2">
        <v>1</v>
      </c>
      <c r="N953" s="2">
        <v>2</v>
      </c>
      <c r="O953" s="36">
        <v>1</v>
      </c>
      <c r="P953" s="24" t="str" cm="1">
        <f t="array" ref="P953">_xlfn.IFS(O953&lt;=6,"Detractors",AND(O953&gt;=7,O953&lt;=8),"Passives",AND(O953&gt;8,O953&lt;=10),"Promoters",O953="Not Available","NA")</f>
        <v>Detractors</v>
      </c>
    </row>
    <row r="954" spans="1:16" ht="14.25" customHeight="1" x14ac:dyDescent="0.3">
      <c r="A954" s="2" t="s">
        <v>980</v>
      </c>
      <c r="B954" s="2" t="s">
        <v>19</v>
      </c>
      <c r="C954" s="2" t="s">
        <v>16</v>
      </c>
      <c r="D954" s="3">
        <v>45943</v>
      </c>
      <c r="E954" s="3">
        <v>45944</v>
      </c>
      <c r="F954" s="3">
        <v>45948</v>
      </c>
      <c r="G954" s="3">
        <v>45952</v>
      </c>
      <c r="H954" s="23" t="str">
        <f t="shared" si="14"/>
        <v>Delivered</v>
      </c>
      <c r="I954" s="2" t="s">
        <v>17</v>
      </c>
      <c r="J954" s="24" t="s">
        <v>1054</v>
      </c>
      <c r="K954" s="3">
        <v>45982</v>
      </c>
      <c r="L954" s="2">
        <v>1</v>
      </c>
      <c r="M954" s="2">
        <v>4</v>
      </c>
      <c r="N954" s="2">
        <v>4</v>
      </c>
      <c r="O954" s="36">
        <v>1</v>
      </c>
      <c r="P954" s="24" t="str" cm="1">
        <f t="array" ref="P954">_xlfn.IFS(O954&lt;=6,"Detractors",AND(O954&gt;=7,O954&lt;=8),"Passives",AND(O954&gt;8,O954&lt;=10),"Promoters",O954="Not Available","NA")</f>
        <v>Detractors</v>
      </c>
    </row>
    <row r="955" spans="1:16" ht="14.25" customHeight="1" x14ac:dyDescent="0.3">
      <c r="A955" s="2" t="s">
        <v>981</v>
      </c>
      <c r="B955" s="2" t="s">
        <v>15</v>
      </c>
      <c r="C955" s="2" t="s">
        <v>16</v>
      </c>
      <c r="D955" s="3">
        <v>45944</v>
      </c>
      <c r="E955" s="3">
        <v>45946</v>
      </c>
      <c r="F955" s="3">
        <v>45947</v>
      </c>
      <c r="G955" s="3">
        <v>45949</v>
      </c>
      <c r="H955" s="23" t="str">
        <f t="shared" si="14"/>
        <v>Delivered</v>
      </c>
      <c r="I955" s="2" t="s">
        <v>17</v>
      </c>
      <c r="J955" s="24" t="s">
        <v>1054</v>
      </c>
      <c r="K955" s="3">
        <v>45964</v>
      </c>
      <c r="L955" s="2">
        <v>2</v>
      </c>
      <c r="M955" s="2">
        <v>1</v>
      </c>
      <c r="N955" s="2">
        <v>2</v>
      </c>
      <c r="O955" s="36">
        <v>6</v>
      </c>
      <c r="P955" s="24" t="str" cm="1">
        <f t="array" ref="P955">_xlfn.IFS(O955&lt;=6,"Detractors",AND(O955&gt;=7,O955&lt;=8),"Passives",AND(O955&gt;8,O955&lt;=10),"Promoters",O955="Not Available","NA")</f>
        <v>Detractors</v>
      </c>
    </row>
    <row r="956" spans="1:16" ht="14.25" customHeight="1" x14ac:dyDescent="0.3">
      <c r="A956" s="42" t="s">
        <v>982</v>
      </c>
      <c r="B956" s="2" t="s">
        <v>15</v>
      </c>
      <c r="C956" s="2" t="s">
        <v>30</v>
      </c>
      <c r="D956" s="3">
        <v>45952</v>
      </c>
      <c r="E956" s="3">
        <v>45953</v>
      </c>
      <c r="F956" s="3">
        <v>45956</v>
      </c>
      <c r="G956" s="3">
        <v>45961</v>
      </c>
      <c r="H956" s="23" t="str">
        <f t="shared" si="14"/>
        <v>Delivered</v>
      </c>
      <c r="I956" s="2" t="s">
        <v>17</v>
      </c>
      <c r="J956" s="24" t="s">
        <v>1054</v>
      </c>
      <c r="K956" s="3">
        <v>45974</v>
      </c>
      <c r="L956" s="2">
        <v>1</v>
      </c>
      <c r="M956" s="2">
        <v>3</v>
      </c>
      <c r="N956" s="2">
        <v>5</v>
      </c>
      <c r="O956" s="36">
        <v>1</v>
      </c>
      <c r="P956" s="24" t="str" cm="1">
        <f t="array" ref="P956">_xlfn.IFS(O956&lt;=6,"Detractors",AND(O956&gt;=7,O956&lt;=8),"Passives",AND(O956&gt;8,O956&lt;=10),"Promoters",O956="Not Available","NA")</f>
        <v>Detractors</v>
      </c>
    </row>
    <row r="957" spans="1:16" ht="14.25" customHeight="1" x14ac:dyDescent="0.3">
      <c r="A957" s="2" t="s">
        <v>983</v>
      </c>
      <c r="B957" s="2" t="s">
        <v>15</v>
      </c>
      <c r="C957" s="2" t="s">
        <v>16</v>
      </c>
      <c r="D957" s="3">
        <v>45934</v>
      </c>
      <c r="E957" s="3">
        <v>45938</v>
      </c>
      <c r="F957" s="3">
        <v>45942</v>
      </c>
      <c r="G957" s="3">
        <v>45948</v>
      </c>
      <c r="H957" s="23" t="str">
        <f t="shared" si="14"/>
        <v>Delivered</v>
      </c>
      <c r="I957" s="2" t="s">
        <v>17</v>
      </c>
      <c r="J957" s="24" t="s">
        <v>1054</v>
      </c>
      <c r="K957" s="3">
        <v>45962</v>
      </c>
      <c r="L957" s="2">
        <v>4</v>
      </c>
      <c r="M957" s="2">
        <v>4</v>
      </c>
      <c r="N957" s="2">
        <v>6</v>
      </c>
      <c r="O957" s="36">
        <v>2</v>
      </c>
      <c r="P957" s="24" t="str" cm="1">
        <f t="array" ref="P957">_xlfn.IFS(O957&lt;=6,"Detractors",AND(O957&gt;=7,O957&lt;=8),"Passives",AND(O957&gt;8,O957&lt;=10),"Promoters",O957="Not Available","NA")</f>
        <v>Detractors</v>
      </c>
    </row>
    <row r="958" spans="1:16" ht="14.25" customHeight="1" x14ac:dyDescent="0.3">
      <c r="A958" s="2" t="s">
        <v>984</v>
      </c>
      <c r="B958" s="2" t="s">
        <v>32</v>
      </c>
      <c r="C958" s="2" t="s">
        <v>22</v>
      </c>
      <c r="D958" s="3">
        <v>45946</v>
      </c>
      <c r="H958" s="23" t="str">
        <f t="shared" si="14"/>
        <v>Not Delivered</v>
      </c>
      <c r="I958" s="2" t="s">
        <v>23</v>
      </c>
      <c r="J958" s="2" t="s">
        <v>101</v>
      </c>
      <c r="L958">
        <v>0</v>
      </c>
      <c r="M958">
        <v>0</v>
      </c>
      <c r="N958">
        <v>0</v>
      </c>
      <c r="O958" t="s">
        <v>1080</v>
      </c>
      <c r="P958" s="24" t="str" cm="1">
        <f t="array" ref="P958">_xlfn.IFS(O958&lt;=6,"Detractors",AND(O958&gt;=7,O958&lt;=8),"Passives",AND(O958&gt;8,O958&lt;=10),"Promoters",O958="Not Available","NA")</f>
        <v>NA</v>
      </c>
    </row>
    <row r="959" spans="1:16" ht="14.25" customHeight="1" x14ac:dyDescent="0.3">
      <c r="A959" s="2" t="s">
        <v>985</v>
      </c>
      <c r="B959" s="2" t="s">
        <v>15</v>
      </c>
      <c r="C959" s="2" t="s">
        <v>16</v>
      </c>
      <c r="D959" s="3">
        <v>45953</v>
      </c>
      <c r="E959" s="3">
        <v>45956</v>
      </c>
      <c r="F959" s="3">
        <v>45957</v>
      </c>
      <c r="G959" s="3">
        <v>45961</v>
      </c>
      <c r="H959" s="23" t="str">
        <f t="shared" si="14"/>
        <v>Delivered</v>
      </c>
      <c r="I959" s="2" t="s">
        <v>17</v>
      </c>
      <c r="J959" s="24" t="s">
        <v>1054</v>
      </c>
      <c r="K959" s="3">
        <v>45972</v>
      </c>
      <c r="L959" s="2">
        <v>3</v>
      </c>
      <c r="M959" s="2">
        <v>1</v>
      </c>
      <c r="N959" s="2">
        <v>4</v>
      </c>
      <c r="O959" s="36">
        <v>10</v>
      </c>
      <c r="P959" s="24" t="str" cm="1">
        <f t="array" ref="P959">_xlfn.IFS(O959&lt;=6,"Detractors",AND(O959&gt;=7,O959&lt;=8),"Passives",AND(O959&gt;8,O959&lt;=10),"Promoters",O959="Not Available","NA")</f>
        <v>Promoters</v>
      </c>
    </row>
    <row r="960" spans="1:16" ht="14.25" customHeight="1" x14ac:dyDescent="0.3">
      <c r="A960" s="2" t="s">
        <v>986</v>
      </c>
      <c r="B960" s="2" t="s">
        <v>15</v>
      </c>
      <c r="C960" s="2" t="s">
        <v>16</v>
      </c>
      <c r="D960" s="3">
        <v>45960</v>
      </c>
      <c r="E960" s="3">
        <v>45963</v>
      </c>
      <c r="F960" s="3">
        <v>45964</v>
      </c>
      <c r="G960" s="3">
        <v>45970</v>
      </c>
      <c r="H960" s="23" t="str">
        <f t="shared" si="14"/>
        <v>Delivered</v>
      </c>
      <c r="I960" s="2" t="s">
        <v>17</v>
      </c>
      <c r="J960" s="24" t="s">
        <v>1054</v>
      </c>
      <c r="K960" s="3">
        <v>45985</v>
      </c>
      <c r="L960" s="2">
        <v>3</v>
      </c>
      <c r="M960" s="2">
        <v>1</v>
      </c>
      <c r="N960" s="2">
        <v>6</v>
      </c>
      <c r="O960" s="36">
        <v>1</v>
      </c>
      <c r="P960" s="24" t="str" cm="1">
        <f t="array" ref="P960">_xlfn.IFS(O960&lt;=6,"Detractors",AND(O960&gt;=7,O960&lt;=8),"Passives",AND(O960&gt;8,O960&lt;=10),"Promoters",O960="Not Available","NA")</f>
        <v>Detractors</v>
      </c>
    </row>
    <row r="961" spans="1:16" ht="14.25" customHeight="1" x14ac:dyDescent="0.3">
      <c r="A961" s="2" t="s">
        <v>987</v>
      </c>
      <c r="B961" s="2" t="s">
        <v>15</v>
      </c>
      <c r="C961" s="2" t="s">
        <v>22</v>
      </c>
      <c r="D961" s="3">
        <v>45945</v>
      </c>
      <c r="H961" s="23" t="str">
        <f t="shared" si="14"/>
        <v>Not Delivered</v>
      </c>
      <c r="I961" s="2" t="s">
        <v>23</v>
      </c>
      <c r="J961" s="2" t="s">
        <v>33</v>
      </c>
      <c r="L961">
        <v>0</v>
      </c>
      <c r="M961">
        <v>0</v>
      </c>
      <c r="N961">
        <v>0</v>
      </c>
      <c r="O961" t="s">
        <v>1080</v>
      </c>
      <c r="P961" s="24" t="str" cm="1">
        <f t="array" ref="P961">_xlfn.IFS(O961&lt;=6,"Detractors",AND(O961&gt;=7,O961&lt;=8),"Passives",AND(O961&gt;8,O961&lt;=10),"Promoters",O961="Not Available","NA")</f>
        <v>NA</v>
      </c>
    </row>
    <row r="962" spans="1:16" ht="14.25" customHeight="1" x14ac:dyDescent="0.3">
      <c r="A962" s="42" t="s">
        <v>988</v>
      </c>
      <c r="B962" s="2" t="s">
        <v>15</v>
      </c>
      <c r="C962" s="2" t="s">
        <v>30</v>
      </c>
      <c r="D962" s="3">
        <v>45933</v>
      </c>
      <c r="E962" s="3">
        <v>45938</v>
      </c>
      <c r="F962" s="3">
        <v>45940</v>
      </c>
      <c r="G962" s="3">
        <v>45943</v>
      </c>
      <c r="H962" s="23" t="str">
        <f t="shared" si="14"/>
        <v>Delivered</v>
      </c>
      <c r="I962" s="2" t="s">
        <v>17</v>
      </c>
      <c r="J962" s="24" t="s">
        <v>1054</v>
      </c>
      <c r="K962" s="3">
        <v>45956</v>
      </c>
      <c r="L962" s="2">
        <v>5</v>
      </c>
      <c r="M962" s="2">
        <v>2</v>
      </c>
      <c r="N962" s="2">
        <v>3</v>
      </c>
      <c r="O962" s="36">
        <v>8</v>
      </c>
      <c r="P962" s="24" t="str" cm="1">
        <f t="array" ref="P962">_xlfn.IFS(O962&lt;=6,"Detractors",AND(O962&gt;=7,O962&lt;=8),"Passives",AND(O962&gt;8,O962&lt;=10),"Promoters",O962="Not Available","NA")</f>
        <v>Passives</v>
      </c>
    </row>
    <row r="963" spans="1:16" ht="14.25" customHeight="1" x14ac:dyDescent="0.3">
      <c r="A963" s="2" t="s">
        <v>989</v>
      </c>
      <c r="B963" s="2" t="s">
        <v>21</v>
      </c>
      <c r="C963" s="2" t="s">
        <v>16</v>
      </c>
      <c r="D963" s="3">
        <v>45959</v>
      </c>
      <c r="E963" s="3">
        <v>45962</v>
      </c>
      <c r="F963" s="3">
        <v>45965</v>
      </c>
      <c r="G963" s="3">
        <v>45968</v>
      </c>
      <c r="H963" s="23" t="str">
        <f t="shared" ref="H963:H1001" si="15">IF(G963="", "Not Delivered", "Delivered")</f>
        <v>Delivered</v>
      </c>
      <c r="I963" s="2" t="s">
        <v>17</v>
      </c>
      <c r="J963" s="24" t="s">
        <v>1054</v>
      </c>
      <c r="K963" s="3">
        <v>45991</v>
      </c>
      <c r="L963" s="2">
        <v>3</v>
      </c>
      <c r="M963" s="2">
        <v>3</v>
      </c>
      <c r="N963" s="2">
        <v>3</v>
      </c>
      <c r="O963" s="36">
        <v>6</v>
      </c>
      <c r="P963" s="24" t="str" cm="1">
        <f t="array" ref="P963">_xlfn.IFS(O963&lt;=6,"Detractors",AND(O963&gt;=7,O963&lt;=8),"Passives",AND(O963&gt;8,O963&lt;=10),"Promoters",O963="Not Available","NA")</f>
        <v>Detractors</v>
      </c>
    </row>
    <row r="964" spans="1:16" ht="14.25" customHeight="1" x14ac:dyDescent="0.3">
      <c r="A964" s="2" t="s">
        <v>990</v>
      </c>
      <c r="B964" s="2" t="s">
        <v>32</v>
      </c>
      <c r="C964" s="2" t="s">
        <v>22</v>
      </c>
      <c r="D964" s="3">
        <v>45933</v>
      </c>
      <c r="H964" s="23" t="str">
        <f t="shared" si="15"/>
        <v>Not Delivered</v>
      </c>
      <c r="I964" s="2" t="s">
        <v>23</v>
      </c>
      <c r="J964" s="2" t="s">
        <v>24</v>
      </c>
      <c r="L964">
        <v>0</v>
      </c>
      <c r="M964">
        <v>0</v>
      </c>
      <c r="N964">
        <v>0</v>
      </c>
      <c r="O964" t="s">
        <v>1080</v>
      </c>
      <c r="P964" s="24" t="str" cm="1">
        <f t="array" ref="P964">_xlfn.IFS(O964&lt;=6,"Detractors",AND(O964&gt;=7,O964&lt;=8),"Passives",AND(O964&gt;8,O964&lt;=10),"Promoters",O964="Not Available","NA")</f>
        <v>NA</v>
      </c>
    </row>
    <row r="965" spans="1:16" ht="14.25" customHeight="1" x14ac:dyDescent="0.3">
      <c r="A965" s="42" t="s">
        <v>991</v>
      </c>
      <c r="B965" s="2" t="s">
        <v>19</v>
      </c>
      <c r="C965" s="2" t="s">
        <v>30</v>
      </c>
      <c r="D965" s="3">
        <v>45941</v>
      </c>
      <c r="E965" s="3">
        <v>45943</v>
      </c>
      <c r="F965" s="3">
        <v>45946</v>
      </c>
      <c r="G965" s="3">
        <v>45948</v>
      </c>
      <c r="H965" s="23" t="str">
        <f t="shared" si="15"/>
        <v>Delivered</v>
      </c>
      <c r="I965" s="2" t="s">
        <v>17</v>
      </c>
      <c r="J965" s="24" t="s">
        <v>1054</v>
      </c>
      <c r="K965" s="3">
        <v>45976</v>
      </c>
      <c r="L965" s="2">
        <v>2</v>
      </c>
      <c r="M965" s="2">
        <v>3</v>
      </c>
      <c r="N965" s="2">
        <v>2</v>
      </c>
      <c r="O965" s="36">
        <v>3</v>
      </c>
      <c r="P965" s="24" t="str" cm="1">
        <f t="array" ref="P965">_xlfn.IFS(O965&lt;=6,"Detractors",AND(O965&gt;=7,O965&lt;=8),"Passives",AND(O965&gt;8,O965&lt;=10),"Promoters",O965="Not Available","NA")</f>
        <v>Detractors</v>
      </c>
    </row>
    <row r="966" spans="1:16" ht="14.25" customHeight="1" x14ac:dyDescent="0.3">
      <c r="A966" s="2" t="s">
        <v>992</v>
      </c>
      <c r="B966" s="2" t="s">
        <v>15</v>
      </c>
      <c r="C966" s="2" t="s">
        <v>16</v>
      </c>
      <c r="D966" s="3">
        <v>45950</v>
      </c>
      <c r="E966" s="3">
        <v>45952</v>
      </c>
      <c r="F966" s="3">
        <v>45955</v>
      </c>
      <c r="G966" s="3">
        <v>45958</v>
      </c>
      <c r="H966" s="23" t="str">
        <f t="shared" si="15"/>
        <v>Delivered</v>
      </c>
      <c r="I966" s="2" t="s">
        <v>17</v>
      </c>
      <c r="J966" s="24" t="s">
        <v>1054</v>
      </c>
      <c r="K966" s="3">
        <v>45983</v>
      </c>
      <c r="L966" s="2">
        <v>2</v>
      </c>
      <c r="M966" s="2">
        <v>3</v>
      </c>
      <c r="N966" s="2">
        <v>3</v>
      </c>
      <c r="O966" s="36">
        <v>9</v>
      </c>
      <c r="P966" s="24" t="str" cm="1">
        <f t="array" ref="P966">_xlfn.IFS(O966&lt;=6,"Detractors",AND(O966&gt;=7,O966&lt;=8),"Passives",AND(O966&gt;8,O966&lt;=10),"Promoters",O966="Not Available","NA")</f>
        <v>Promoters</v>
      </c>
    </row>
    <row r="967" spans="1:16" ht="14.25" customHeight="1" x14ac:dyDescent="0.3">
      <c r="A967" s="2" t="s">
        <v>993</v>
      </c>
      <c r="B967" s="2" t="s">
        <v>21</v>
      </c>
      <c r="C967" s="2" t="s">
        <v>16</v>
      </c>
      <c r="D967" s="3">
        <v>45935</v>
      </c>
      <c r="E967" s="3">
        <v>45940</v>
      </c>
      <c r="F967" s="3">
        <v>45944</v>
      </c>
      <c r="G967" s="3">
        <v>45951</v>
      </c>
      <c r="H967" s="23" t="str">
        <f t="shared" si="15"/>
        <v>Delivered</v>
      </c>
      <c r="I967" s="2" t="s">
        <v>17</v>
      </c>
      <c r="J967" s="24" t="s">
        <v>1054</v>
      </c>
      <c r="K967" s="3">
        <v>45979</v>
      </c>
      <c r="L967" s="2">
        <v>5</v>
      </c>
      <c r="M967" s="2">
        <v>4</v>
      </c>
      <c r="N967" s="2">
        <v>7</v>
      </c>
      <c r="O967" s="36">
        <v>7</v>
      </c>
      <c r="P967" s="24" t="str" cm="1">
        <f t="array" ref="P967">_xlfn.IFS(O967&lt;=6,"Detractors",AND(O967&gt;=7,O967&lt;=8),"Passives",AND(O967&gt;8,O967&lt;=10),"Promoters",O967="Not Available","NA")</f>
        <v>Passives</v>
      </c>
    </row>
    <row r="968" spans="1:16" ht="14.25" customHeight="1" x14ac:dyDescent="0.3">
      <c r="A968" s="2" t="s">
        <v>994</v>
      </c>
      <c r="B968" s="2" t="s">
        <v>21</v>
      </c>
      <c r="C968" s="2" t="s">
        <v>16</v>
      </c>
      <c r="D968" s="3">
        <v>45933</v>
      </c>
      <c r="E968" s="3">
        <v>45938</v>
      </c>
      <c r="F968" s="3">
        <v>45940</v>
      </c>
      <c r="G968" s="3">
        <v>45943</v>
      </c>
      <c r="H968" s="23" t="str">
        <f t="shared" si="15"/>
        <v>Delivered</v>
      </c>
      <c r="I968" s="2" t="s">
        <v>17</v>
      </c>
      <c r="J968" s="24" t="s">
        <v>1054</v>
      </c>
      <c r="K968" s="3">
        <v>45967</v>
      </c>
      <c r="L968" s="2">
        <v>5</v>
      </c>
      <c r="M968" s="2">
        <v>2</v>
      </c>
      <c r="N968" s="2">
        <v>3</v>
      </c>
      <c r="O968" s="36">
        <v>4</v>
      </c>
      <c r="P968" s="24" t="str" cm="1">
        <f t="array" ref="P968">_xlfn.IFS(O968&lt;=6,"Detractors",AND(O968&gt;=7,O968&lt;=8),"Passives",AND(O968&gt;8,O968&lt;=10),"Promoters",O968="Not Available","NA")</f>
        <v>Detractors</v>
      </c>
    </row>
    <row r="969" spans="1:16" ht="14.25" customHeight="1" x14ac:dyDescent="0.3">
      <c r="A969" s="2" t="s">
        <v>995</v>
      </c>
      <c r="B969" s="2" t="s">
        <v>21</v>
      </c>
      <c r="C969" s="2" t="s">
        <v>16</v>
      </c>
      <c r="D969" s="3">
        <v>45935</v>
      </c>
      <c r="E969" s="3">
        <v>45939</v>
      </c>
      <c r="F969" s="3">
        <v>45944</v>
      </c>
      <c r="G969" s="3">
        <v>45948</v>
      </c>
      <c r="H969" s="23" t="str">
        <f t="shared" si="15"/>
        <v>Delivered</v>
      </c>
      <c r="I969" s="2" t="s">
        <v>17</v>
      </c>
      <c r="J969" s="24" t="s">
        <v>1054</v>
      </c>
      <c r="K969" s="3">
        <v>45963</v>
      </c>
      <c r="L969" s="2">
        <v>4</v>
      </c>
      <c r="M969" s="2">
        <v>5</v>
      </c>
      <c r="N969" s="2">
        <v>4</v>
      </c>
      <c r="O969" s="36">
        <v>7</v>
      </c>
      <c r="P969" s="24" t="str" cm="1">
        <f t="array" ref="P969">_xlfn.IFS(O969&lt;=6,"Detractors",AND(O969&gt;=7,O969&lt;=8),"Passives",AND(O969&gt;8,O969&lt;=10),"Promoters",O969="Not Available","NA")</f>
        <v>Passives</v>
      </c>
    </row>
    <row r="970" spans="1:16" ht="14.25" customHeight="1" x14ac:dyDescent="0.3">
      <c r="A970" s="2" t="s">
        <v>996</v>
      </c>
      <c r="B970" s="2" t="s">
        <v>19</v>
      </c>
      <c r="C970" s="2" t="s">
        <v>22</v>
      </c>
      <c r="D970" s="3">
        <v>45939</v>
      </c>
      <c r="H970" s="23" t="str">
        <f t="shared" si="15"/>
        <v>Not Delivered</v>
      </c>
      <c r="I970" s="2" t="s">
        <v>23</v>
      </c>
      <c r="J970" s="2" t="s">
        <v>63</v>
      </c>
      <c r="L970">
        <v>0</v>
      </c>
      <c r="M970">
        <v>0</v>
      </c>
      <c r="N970">
        <v>0</v>
      </c>
      <c r="O970" t="s">
        <v>1080</v>
      </c>
      <c r="P970" s="24" t="str" cm="1">
        <f t="array" ref="P970">_xlfn.IFS(O970&lt;=6,"Detractors",AND(O970&gt;=7,O970&lt;=8),"Passives",AND(O970&gt;8,O970&lt;=10),"Promoters",O970="Not Available","NA")</f>
        <v>NA</v>
      </c>
    </row>
    <row r="971" spans="1:16" ht="14.25" customHeight="1" x14ac:dyDescent="0.3">
      <c r="A971" s="2" t="s">
        <v>997</v>
      </c>
      <c r="B971" s="2" t="s">
        <v>15</v>
      </c>
      <c r="C971" s="2" t="s">
        <v>16</v>
      </c>
      <c r="D971" s="3">
        <v>45950</v>
      </c>
      <c r="E971" s="3">
        <v>45955</v>
      </c>
      <c r="F971" s="3">
        <v>45959</v>
      </c>
      <c r="G971" s="3">
        <v>45965</v>
      </c>
      <c r="H971" s="23" t="str">
        <f t="shared" si="15"/>
        <v>Delivered</v>
      </c>
      <c r="I971" s="2" t="s">
        <v>17</v>
      </c>
      <c r="J971" s="24" t="s">
        <v>1054</v>
      </c>
      <c r="K971" s="3">
        <v>45994</v>
      </c>
      <c r="L971" s="2">
        <v>5</v>
      </c>
      <c r="M971" s="2">
        <v>4</v>
      </c>
      <c r="N971" s="2">
        <v>6</v>
      </c>
      <c r="O971" s="36">
        <v>6</v>
      </c>
      <c r="P971" s="24" t="str" cm="1">
        <f t="array" ref="P971">_xlfn.IFS(O971&lt;=6,"Detractors",AND(O971&gt;=7,O971&lt;=8),"Passives",AND(O971&gt;8,O971&lt;=10),"Promoters",O971="Not Available","NA")</f>
        <v>Detractors</v>
      </c>
    </row>
    <row r="972" spans="1:16" ht="14.25" customHeight="1" x14ac:dyDescent="0.3">
      <c r="A972" s="42" t="s">
        <v>998</v>
      </c>
      <c r="B972" s="2" t="s">
        <v>32</v>
      </c>
      <c r="C972" s="2" t="s">
        <v>30</v>
      </c>
      <c r="D972" s="3">
        <v>45951</v>
      </c>
      <c r="E972" s="3">
        <v>45952</v>
      </c>
      <c r="F972" s="3">
        <v>45955</v>
      </c>
      <c r="G972" s="3">
        <v>45962</v>
      </c>
      <c r="H972" s="23" t="str">
        <f t="shared" si="15"/>
        <v>Delivered</v>
      </c>
      <c r="I972" s="2" t="s">
        <v>17</v>
      </c>
      <c r="J972" s="24" t="s">
        <v>1054</v>
      </c>
      <c r="K972" s="3">
        <v>45984</v>
      </c>
      <c r="L972" s="2">
        <v>1</v>
      </c>
      <c r="M972" s="2">
        <v>3</v>
      </c>
      <c r="N972" s="2">
        <v>7</v>
      </c>
      <c r="O972" s="36">
        <v>10</v>
      </c>
      <c r="P972" s="24" t="str" cm="1">
        <f t="array" ref="P972">_xlfn.IFS(O972&lt;=6,"Detractors",AND(O972&gt;=7,O972&lt;=8),"Passives",AND(O972&gt;8,O972&lt;=10),"Promoters",O972="Not Available","NA")</f>
        <v>Promoters</v>
      </c>
    </row>
    <row r="973" spans="1:16" ht="14.25" customHeight="1" x14ac:dyDescent="0.3">
      <c r="A973" s="2" t="s">
        <v>999</v>
      </c>
      <c r="B973" s="2" t="s">
        <v>32</v>
      </c>
      <c r="C973" s="2" t="s">
        <v>22</v>
      </c>
      <c r="D973" s="3">
        <v>45949</v>
      </c>
      <c r="H973" s="23" t="str">
        <f t="shared" si="15"/>
        <v>Not Delivered</v>
      </c>
      <c r="I973" s="2" t="s">
        <v>23</v>
      </c>
      <c r="J973" s="2" t="s">
        <v>101</v>
      </c>
      <c r="L973">
        <v>0</v>
      </c>
      <c r="M973">
        <v>0</v>
      </c>
      <c r="N973">
        <v>0</v>
      </c>
      <c r="O973" t="s">
        <v>1080</v>
      </c>
      <c r="P973" s="24" t="str" cm="1">
        <f t="array" ref="P973">_xlfn.IFS(O973&lt;=6,"Detractors",AND(O973&gt;=7,O973&lt;=8),"Passives",AND(O973&gt;8,O973&lt;=10),"Promoters",O973="Not Available","NA")</f>
        <v>NA</v>
      </c>
    </row>
    <row r="974" spans="1:16" ht="14.25" customHeight="1" x14ac:dyDescent="0.3">
      <c r="A974" s="42" t="s">
        <v>1000</v>
      </c>
      <c r="B974" s="2" t="s">
        <v>21</v>
      </c>
      <c r="C974" s="2" t="s">
        <v>30</v>
      </c>
      <c r="D974" s="3">
        <v>45948</v>
      </c>
      <c r="E974" s="3">
        <v>45949</v>
      </c>
      <c r="F974" s="3">
        <v>45953</v>
      </c>
      <c r="G974" s="3">
        <v>45955</v>
      </c>
      <c r="H974" s="23" t="str">
        <f t="shared" si="15"/>
        <v>Delivered</v>
      </c>
      <c r="I974" s="2" t="s">
        <v>17</v>
      </c>
      <c r="J974" s="24" t="s">
        <v>1054</v>
      </c>
      <c r="K974" s="3">
        <v>45976</v>
      </c>
      <c r="L974" s="2">
        <v>1</v>
      </c>
      <c r="M974" s="2">
        <v>4</v>
      </c>
      <c r="N974" s="2">
        <v>2</v>
      </c>
      <c r="O974" s="36">
        <v>10</v>
      </c>
      <c r="P974" s="24" t="str" cm="1">
        <f t="array" ref="P974">_xlfn.IFS(O974&lt;=6,"Detractors",AND(O974&gt;=7,O974&lt;=8),"Passives",AND(O974&gt;8,O974&lt;=10),"Promoters",O974="Not Available","NA")</f>
        <v>Promoters</v>
      </c>
    </row>
    <row r="975" spans="1:16" ht="14.25" customHeight="1" x14ac:dyDescent="0.3">
      <c r="A975" s="2" t="s">
        <v>1001</v>
      </c>
      <c r="B975" s="2" t="s">
        <v>19</v>
      </c>
      <c r="C975" s="2" t="s">
        <v>16</v>
      </c>
      <c r="D975" s="3">
        <v>45953</v>
      </c>
      <c r="E975" s="3">
        <v>45954</v>
      </c>
      <c r="F975" s="3">
        <v>45955</v>
      </c>
      <c r="G975" s="3">
        <v>45958</v>
      </c>
      <c r="H975" s="23" t="str">
        <f t="shared" si="15"/>
        <v>Delivered</v>
      </c>
      <c r="I975" s="2" t="s">
        <v>17</v>
      </c>
      <c r="J975" s="24" t="s">
        <v>1054</v>
      </c>
      <c r="K975" s="3">
        <v>45987</v>
      </c>
      <c r="L975" s="2">
        <v>1</v>
      </c>
      <c r="M975" s="2">
        <v>1</v>
      </c>
      <c r="N975" s="2">
        <v>3</v>
      </c>
      <c r="O975" s="36">
        <v>9</v>
      </c>
      <c r="P975" s="24" t="str" cm="1">
        <f t="array" ref="P975">_xlfn.IFS(O975&lt;=6,"Detractors",AND(O975&gt;=7,O975&lt;=8),"Passives",AND(O975&gt;8,O975&lt;=10),"Promoters",O975="Not Available","NA")</f>
        <v>Promoters</v>
      </c>
    </row>
    <row r="976" spans="1:16" ht="14.25" customHeight="1" x14ac:dyDescent="0.3">
      <c r="A976" s="2" t="s">
        <v>1002</v>
      </c>
      <c r="B976" s="2" t="s">
        <v>19</v>
      </c>
      <c r="C976" s="2" t="s">
        <v>16</v>
      </c>
      <c r="D976" s="3">
        <v>45941</v>
      </c>
      <c r="E976" s="3">
        <v>45943</v>
      </c>
      <c r="F976" s="3">
        <v>45947</v>
      </c>
      <c r="G976" s="3">
        <v>45953</v>
      </c>
      <c r="H976" s="23" t="str">
        <f t="shared" si="15"/>
        <v>Delivered</v>
      </c>
      <c r="I976" s="2" t="s">
        <v>17</v>
      </c>
      <c r="J976" s="24" t="s">
        <v>1054</v>
      </c>
      <c r="K976" s="3">
        <v>45963</v>
      </c>
      <c r="L976" s="2">
        <v>2</v>
      </c>
      <c r="M976" s="2">
        <v>4</v>
      </c>
      <c r="N976" s="2">
        <v>6</v>
      </c>
      <c r="O976" s="36">
        <v>7</v>
      </c>
      <c r="P976" s="24" t="str" cm="1">
        <f t="array" ref="P976">_xlfn.IFS(O976&lt;=6,"Detractors",AND(O976&gt;=7,O976&lt;=8),"Passives",AND(O976&gt;8,O976&lt;=10),"Promoters",O976="Not Available","NA")</f>
        <v>Passives</v>
      </c>
    </row>
    <row r="977" spans="1:16" ht="14.25" customHeight="1" x14ac:dyDescent="0.3">
      <c r="A977" s="2" t="s">
        <v>1003</v>
      </c>
      <c r="B977" s="2" t="s">
        <v>19</v>
      </c>
      <c r="C977" s="2" t="s">
        <v>16</v>
      </c>
      <c r="D977" s="3">
        <v>45943</v>
      </c>
      <c r="E977" s="3">
        <v>45946</v>
      </c>
      <c r="F977" s="3">
        <v>45950</v>
      </c>
      <c r="G977" s="3">
        <v>45955</v>
      </c>
      <c r="H977" s="23" t="str">
        <f t="shared" si="15"/>
        <v>Delivered</v>
      </c>
      <c r="I977" s="2" t="s">
        <v>23</v>
      </c>
      <c r="J977" s="2" t="s">
        <v>26</v>
      </c>
      <c r="L977" s="2">
        <v>3</v>
      </c>
      <c r="M977" s="2">
        <v>4</v>
      </c>
      <c r="N977" s="2">
        <v>5</v>
      </c>
      <c r="O977" t="s">
        <v>1080</v>
      </c>
      <c r="P977" s="24" t="str" cm="1">
        <f t="array" ref="P977">_xlfn.IFS(O977&lt;=6,"Detractors",AND(O977&gt;=7,O977&lt;=8),"Passives",AND(O977&gt;8,O977&lt;=10),"Promoters",O977="Not Available","NA")</f>
        <v>NA</v>
      </c>
    </row>
    <row r="978" spans="1:16" ht="14.25" customHeight="1" x14ac:dyDescent="0.3">
      <c r="A978" s="2" t="s">
        <v>1004</v>
      </c>
      <c r="B978" s="2" t="s">
        <v>32</v>
      </c>
      <c r="C978" s="2" t="s">
        <v>16</v>
      </c>
      <c r="D978" s="3">
        <v>45950</v>
      </c>
      <c r="E978" s="3">
        <v>45954</v>
      </c>
      <c r="F978" s="3">
        <v>45957</v>
      </c>
      <c r="G978" s="3">
        <v>45961</v>
      </c>
      <c r="H978" s="23" t="str">
        <f t="shared" si="15"/>
        <v>Delivered</v>
      </c>
      <c r="I978" s="2" t="s">
        <v>23</v>
      </c>
      <c r="J978" s="2" t="s">
        <v>101</v>
      </c>
      <c r="L978" s="2">
        <v>4</v>
      </c>
      <c r="M978" s="2">
        <v>3</v>
      </c>
      <c r="N978" s="2">
        <v>4</v>
      </c>
      <c r="O978" t="s">
        <v>1080</v>
      </c>
      <c r="P978" s="24" t="str" cm="1">
        <f t="array" ref="P978">_xlfn.IFS(O978&lt;=6,"Detractors",AND(O978&gt;=7,O978&lt;=8),"Passives",AND(O978&gt;8,O978&lt;=10),"Promoters",O978="Not Available","NA")</f>
        <v>NA</v>
      </c>
    </row>
    <row r="979" spans="1:16" ht="14.25" customHeight="1" x14ac:dyDescent="0.3">
      <c r="A979" s="2" t="s">
        <v>1005</v>
      </c>
      <c r="B979" s="2" t="s">
        <v>21</v>
      </c>
      <c r="C979" s="2" t="s">
        <v>22</v>
      </c>
      <c r="D979" s="3">
        <v>45947</v>
      </c>
      <c r="H979" s="23" t="str">
        <f t="shared" si="15"/>
        <v>Not Delivered</v>
      </c>
      <c r="I979" s="2" t="s">
        <v>23</v>
      </c>
      <c r="J979" s="2" t="s">
        <v>63</v>
      </c>
      <c r="L979">
        <v>0</v>
      </c>
      <c r="M979">
        <v>0</v>
      </c>
      <c r="N979">
        <v>0</v>
      </c>
      <c r="O979" t="s">
        <v>1080</v>
      </c>
      <c r="P979" s="24" t="str" cm="1">
        <f t="array" ref="P979">_xlfn.IFS(O979&lt;=6,"Detractors",AND(O979&gt;=7,O979&lt;=8),"Passives",AND(O979&gt;8,O979&lt;=10),"Promoters",O979="Not Available","NA")</f>
        <v>NA</v>
      </c>
    </row>
    <row r="980" spans="1:16" ht="14.25" customHeight="1" x14ac:dyDescent="0.3">
      <c r="A980" s="2" t="s">
        <v>1006</v>
      </c>
      <c r="B980" s="2" t="s">
        <v>15</v>
      </c>
      <c r="C980" s="2" t="s">
        <v>16</v>
      </c>
      <c r="D980" s="3">
        <v>45940</v>
      </c>
      <c r="E980" s="3">
        <v>45945</v>
      </c>
      <c r="F980" s="3">
        <v>45946</v>
      </c>
      <c r="G980" s="3">
        <v>45949</v>
      </c>
      <c r="H980" s="23" t="str">
        <f t="shared" si="15"/>
        <v>Delivered</v>
      </c>
      <c r="I980" s="2" t="s">
        <v>17</v>
      </c>
      <c r="J980" s="24" t="s">
        <v>1054</v>
      </c>
      <c r="K980" s="3">
        <v>45963</v>
      </c>
      <c r="L980" s="2">
        <v>5</v>
      </c>
      <c r="M980" s="2">
        <v>1</v>
      </c>
      <c r="N980" s="2">
        <v>3</v>
      </c>
      <c r="O980" s="36">
        <v>8</v>
      </c>
      <c r="P980" s="24" t="str" cm="1">
        <f t="array" ref="P980">_xlfn.IFS(O980&lt;=6,"Detractors",AND(O980&gt;=7,O980&lt;=8),"Passives",AND(O980&gt;8,O980&lt;=10),"Promoters",O980="Not Available","NA")</f>
        <v>Passives</v>
      </c>
    </row>
    <row r="981" spans="1:16" ht="14.25" customHeight="1" x14ac:dyDescent="0.3">
      <c r="A981" s="2" t="s">
        <v>1007</v>
      </c>
      <c r="B981" s="2" t="s">
        <v>32</v>
      </c>
      <c r="C981" s="2" t="s">
        <v>16</v>
      </c>
      <c r="D981" s="3">
        <v>45945</v>
      </c>
      <c r="E981" s="3">
        <v>45949</v>
      </c>
      <c r="F981" s="3">
        <v>45952</v>
      </c>
      <c r="G981" s="3">
        <v>45955</v>
      </c>
      <c r="H981" s="23" t="str">
        <f t="shared" si="15"/>
        <v>Delivered</v>
      </c>
      <c r="I981" s="2" t="s">
        <v>17</v>
      </c>
      <c r="J981" s="24" t="s">
        <v>1054</v>
      </c>
      <c r="K981" s="3">
        <v>45980</v>
      </c>
      <c r="L981" s="2">
        <v>4</v>
      </c>
      <c r="M981" s="2">
        <v>3</v>
      </c>
      <c r="N981" s="2">
        <v>3</v>
      </c>
      <c r="O981" s="36">
        <v>5</v>
      </c>
      <c r="P981" s="24" t="str" cm="1">
        <f t="array" ref="P981">_xlfn.IFS(O981&lt;=6,"Detractors",AND(O981&gt;=7,O981&lt;=8),"Passives",AND(O981&gt;8,O981&lt;=10),"Promoters",O981="Not Available","NA")</f>
        <v>Detractors</v>
      </c>
    </row>
    <row r="982" spans="1:16" ht="14.25" customHeight="1" x14ac:dyDescent="0.3">
      <c r="A982" s="42" t="s">
        <v>1008</v>
      </c>
      <c r="B982" s="2" t="s">
        <v>21</v>
      </c>
      <c r="C982" s="2" t="s">
        <v>30</v>
      </c>
      <c r="D982" s="3">
        <v>45947</v>
      </c>
      <c r="E982" s="3">
        <v>45949</v>
      </c>
      <c r="F982" s="3">
        <v>45950</v>
      </c>
      <c r="G982" s="3">
        <v>45953</v>
      </c>
      <c r="H982" s="23" t="str">
        <f t="shared" si="15"/>
        <v>Delivered</v>
      </c>
      <c r="I982" s="2" t="s">
        <v>17</v>
      </c>
      <c r="J982" s="24" t="s">
        <v>1054</v>
      </c>
      <c r="K982" s="3">
        <v>45978</v>
      </c>
      <c r="L982" s="2">
        <v>2</v>
      </c>
      <c r="M982" s="2">
        <v>1</v>
      </c>
      <c r="N982" s="2">
        <v>3</v>
      </c>
      <c r="O982" s="36">
        <v>0</v>
      </c>
      <c r="P982" s="24" t="str" cm="1">
        <f t="array" ref="P982">_xlfn.IFS(O982&lt;=6,"Detractors",AND(O982&gt;=7,O982&lt;=8),"Passives",AND(O982&gt;8,O982&lt;=10),"Promoters",O982="Not Available","NA")</f>
        <v>Detractors</v>
      </c>
    </row>
    <row r="983" spans="1:16" ht="14.25" customHeight="1" x14ac:dyDescent="0.3">
      <c r="A983" s="2" t="s">
        <v>1009</v>
      </c>
      <c r="B983" s="2" t="s">
        <v>21</v>
      </c>
      <c r="C983" s="2" t="s">
        <v>22</v>
      </c>
      <c r="D983" s="3">
        <v>45950</v>
      </c>
      <c r="H983" s="23" t="str">
        <f t="shared" si="15"/>
        <v>Not Delivered</v>
      </c>
      <c r="I983" s="2" t="s">
        <v>23</v>
      </c>
      <c r="J983" s="2" t="s">
        <v>24</v>
      </c>
      <c r="L983">
        <v>0</v>
      </c>
      <c r="M983">
        <v>0</v>
      </c>
      <c r="N983">
        <v>0</v>
      </c>
      <c r="O983" t="s">
        <v>1080</v>
      </c>
      <c r="P983" s="24" t="str" cm="1">
        <f t="array" ref="P983">_xlfn.IFS(O983&lt;=6,"Detractors",AND(O983&gt;=7,O983&lt;=8),"Passives",AND(O983&gt;8,O983&lt;=10),"Promoters",O983="Not Available","NA")</f>
        <v>NA</v>
      </c>
    </row>
    <row r="984" spans="1:16" ht="14.25" customHeight="1" x14ac:dyDescent="0.3">
      <c r="A984" s="2" t="s">
        <v>1010</v>
      </c>
      <c r="B984" s="2" t="s">
        <v>15</v>
      </c>
      <c r="C984" s="2" t="s">
        <v>22</v>
      </c>
      <c r="D984" s="3">
        <v>45944</v>
      </c>
      <c r="H984" s="23" t="str">
        <f t="shared" si="15"/>
        <v>Not Delivered</v>
      </c>
      <c r="I984" s="2" t="s">
        <v>23</v>
      </c>
      <c r="J984" s="2" t="s">
        <v>63</v>
      </c>
      <c r="L984">
        <v>0</v>
      </c>
      <c r="M984">
        <v>0</v>
      </c>
      <c r="N984">
        <v>0</v>
      </c>
      <c r="O984" t="s">
        <v>1080</v>
      </c>
      <c r="P984" s="24" t="str" cm="1">
        <f t="array" ref="P984">_xlfn.IFS(O984&lt;=6,"Detractors",AND(O984&gt;=7,O984&lt;=8),"Passives",AND(O984&gt;8,O984&lt;=10),"Promoters",O984="Not Available","NA")</f>
        <v>NA</v>
      </c>
    </row>
    <row r="985" spans="1:16" ht="14.25" customHeight="1" x14ac:dyDescent="0.3">
      <c r="A985" s="2" t="s">
        <v>1011</v>
      </c>
      <c r="B985" s="2" t="s">
        <v>15</v>
      </c>
      <c r="C985" s="2" t="s">
        <v>16</v>
      </c>
      <c r="D985" s="3">
        <v>45934</v>
      </c>
      <c r="E985" s="3">
        <v>45939</v>
      </c>
      <c r="F985" s="3">
        <v>45940</v>
      </c>
      <c r="G985" s="3">
        <v>45946</v>
      </c>
      <c r="H985" s="23" t="str">
        <f t="shared" si="15"/>
        <v>Delivered</v>
      </c>
      <c r="I985" s="2" t="s">
        <v>17</v>
      </c>
      <c r="J985" s="24" t="s">
        <v>1054</v>
      </c>
      <c r="K985" s="3">
        <v>45959</v>
      </c>
      <c r="L985" s="2">
        <v>5</v>
      </c>
      <c r="M985" s="2">
        <v>1</v>
      </c>
      <c r="N985" s="2">
        <v>6</v>
      </c>
      <c r="O985" s="36">
        <v>2</v>
      </c>
      <c r="P985" s="24" t="str" cm="1">
        <f t="array" ref="P985">_xlfn.IFS(O985&lt;=6,"Detractors",AND(O985&gt;=7,O985&lt;=8),"Passives",AND(O985&gt;8,O985&lt;=10),"Promoters",O985="Not Available","NA")</f>
        <v>Detractors</v>
      </c>
    </row>
    <row r="986" spans="1:16" ht="14.25" customHeight="1" x14ac:dyDescent="0.3">
      <c r="A986" s="42" t="s">
        <v>1012</v>
      </c>
      <c r="B986" s="2" t="s">
        <v>15</v>
      </c>
      <c r="C986" s="2" t="s">
        <v>30</v>
      </c>
      <c r="D986" s="3">
        <v>45956</v>
      </c>
      <c r="E986" s="3">
        <v>45961</v>
      </c>
      <c r="F986" s="3">
        <v>45962</v>
      </c>
      <c r="G986" s="3">
        <v>45966</v>
      </c>
      <c r="H986" s="23" t="str">
        <f t="shared" si="15"/>
        <v>Delivered</v>
      </c>
      <c r="I986" s="2" t="s">
        <v>17</v>
      </c>
      <c r="J986" s="24" t="s">
        <v>1054</v>
      </c>
      <c r="K986" s="3">
        <v>45989</v>
      </c>
      <c r="L986" s="2">
        <v>5</v>
      </c>
      <c r="M986" s="2">
        <v>1</v>
      </c>
      <c r="N986" s="2">
        <v>4</v>
      </c>
      <c r="O986" s="36">
        <v>2</v>
      </c>
      <c r="P986" s="24" t="str" cm="1">
        <f t="array" ref="P986">_xlfn.IFS(O986&lt;=6,"Detractors",AND(O986&gt;=7,O986&lt;=8),"Passives",AND(O986&gt;8,O986&lt;=10),"Promoters",O986="Not Available","NA")</f>
        <v>Detractors</v>
      </c>
    </row>
    <row r="987" spans="1:16" ht="14.25" customHeight="1" x14ac:dyDescent="0.3">
      <c r="A987" s="42" t="s">
        <v>1013</v>
      </c>
      <c r="B987" s="2" t="s">
        <v>19</v>
      </c>
      <c r="C987" s="2" t="s">
        <v>30</v>
      </c>
      <c r="D987" s="3">
        <v>45953</v>
      </c>
      <c r="E987" s="3">
        <v>45955</v>
      </c>
      <c r="F987" s="3">
        <v>45958</v>
      </c>
      <c r="G987" s="3">
        <v>45965</v>
      </c>
      <c r="H987" s="23" t="str">
        <f t="shared" si="15"/>
        <v>Delivered</v>
      </c>
      <c r="I987" s="2" t="s">
        <v>17</v>
      </c>
      <c r="J987" s="24" t="s">
        <v>1054</v>
      </c>
      <c r="K987" s="3">
        <v>45989</v>
      </c>
      <c r="L987" s="2">
        <v>2</v>
      </c>
      <c r="M987" s="2">
        <v>3</v>
      </c>
      <c r="N987" s="2">
        <v>7</v>
      </c>
      <c r="O987" s="36">
        <v>7</v>
      </c>
      <c r="P987" s="24" t="str" cm="1">
        <f t="array" ref="P987">_xlfn.IFS(O987&lt;=6,"Detractors",AND(O987&gt;=7,O987&lt;=8),"Passives",AND(O987&gt;8,O987&lt;=10),"Promoters",O987="Not Available","NA")</f>
        <v>Passives</v>
      </c>
    </row>
    <row r="988" spans="1:16" ht="14.25" customHeight="1" x14ac:dyDescent="0.3">
      <c r="A988" s="42" t="s">
        <v>1014</v>
      </c>
      <c r="B988" s="2" t="s">
        <v>15</v>
      </c>
      <c r="C988" s="2" t="s">
        <v>30</v>
      </c>
      <c r="D988" s="3">
        <v>45934</v>
      </c>
      <c r="E988" s="3">
        <v>45937</v>
      </c>
      <c r="F988" s="3">
        <v>45938</v>
      </c>
      <c r="G988" s="3">
        <v>45945</v>
      </c>
      <c r="H988" s="23" t="str">
        <f t="shared" si="15"/>
        <v>Delivered</v>
      </c>
      <c r="I988" s="2" t="s">
        <v>17</v>
      </c>
      <c r="J988" s="24" t="s">
        <v>1054</v>
      </c>
      <c r="K988" s="3">
        <v>45956</v>
      </c>
      <c r="L988" s="2">
        <v>3</v>
      </c>
      <c r="M988" s="2">
        <v>1</v>
      </c>
      <c r="N988" s="2">
        <v>7</v>
      </c>
      <c r="O988" s="36">
        <v>8</v>
      </c>
      <c r="P988" s="24" t="str" cm="1">
        <f t="array" ref="P988">_xlfn.IFS(O988&lt;=6,"Detractors",AND(O988&gt;=7,O988&lt;=8),"Passives",AND(O988&gt;8,O988&lt;=10),"Promoters",O988="Not Available","NA")</f>
        <v>Passives</v>
      </c>
    </row>
    <row r="989" spans="1:16" ht="14.25" customHeight="1" x14ac:dyDescent="0.3">
      <c r="A989" s="42" t="s">
        <v>1015</v>
      </c>
      <c r="B989" s="2" t="s">
        <v>21</v>
      </c>
      <c r="C989" s="2" t="s">
        <v>30</v>
      </c>
      <c r="D989" s="3">
        <v>45958</v>
      </c>
      <c r="E989" s="3">
        <v>45963</v>
      </c>
      <c r="F989" s="3">
        <v>45965</v>
      </c>
      <c r="G989" s="3">
        <v>45969</v>
      </c>
      <c r="H989" s="23" t="str">
        <f t="shared" si="15"/>
        <v>Delivered</v>
      </c>
      <c r="I989" s="2" t="s">
        <v>17</v>
      </c>
      <c r="J989" s="24" t="s">
        <v>1054</v>
      </c>
      <c r="K989" s="3">
        <v>45981</v>
      </c>
      <c r="L989" s="2">
        <v>5</v>
      </c>
      <c r="M989" s="2">
        <v>2</v>
      </c>
      <c r="N989" s="2">
        <v>4</v>
      </c>
      <c r="O989" s="36">
        <v>0</v>
      </c>
      <c r="P989" s="24" t="str" cm="1">
        <f t="array" ref="P989">_xlfn.IFS(O989&lt;=6,"Detractors",AND(O989&gt;=7,O989&lt;=8),"Passives",AND(O989&gt;8,O989&lt;=10),"Promoters",O989="Not Available","NA")</f>
        <v>Detractors</v>
      </c>
    </row>
    <row r="990" spans="1:16" ht="14.25" customHeight="1" x14ac:dyDescent="0.3">
      <c r="A990" s="2" t="s">
        <v>1016</v>
      </c>
      <c r="B990" s="2" t="s">
        <v>15</v>
      </c>
      <c r="C990" s="2" t="s">
        <v>16</v>
      </c>
      <c r="D990" s="3">
        <v>45951</v>
      </c>
      <c r="E990" s="3">
        <v>45954</v>
      </c>
      <c r="F990" s="3">
        <v>45956</v>
      </c>
      <c r="G990" s="3">
        <v>45962</v>
      </c>
      <c r="H990" s="23" t="str">
        <f t="shared" si="15"/>
        <v>Delivered</v>
      </c>
      <c r="I990" s="2" t="s">
        <v>17</v>
      </c>
      <c r="J990" s="24" t="s">
        <v>1054</v>
      </c>
      <c r="K990" s="3">
        <v>45980</v>
      </c>
      <c r="L990" s="2">
        <v>3</v>
      </c>
      <c r="M990" s="2">
        <v>2</v>
      </c>
      <c r="N990" s="2">
        <v>6</v>
      </c>
      <c r="O990" s="36">
        <v>4</v>
      </c>
      <c r="P990" s="24" t="str" cm="1">
        <f t="array" ref="P990">_xlfn.IFS(O990&lt;=6,"Detractors",AND(O990&gt;=7,O990&lt;=8),"Passives",AND(O990&gt;8,O990&lt;=10),"Promoters",O990="Not Available","NA")</f>
        <v>Detractors</v>
      </c>
    </row>
    <row r="991" spans="1:16" ht="14.25" customHeight="1" x14ac:dyDescent="0.3">
      <c r="A991" s="2" t="s">
        <v>1017</v>
      </c>
      <c r="B991" s="2" t="s">
        <v>21</v>
      </c>
      <c r="C991" s="2" t="s">
        <v>22</v>
      </c>
      <c r="D991" s="3">
        <v>45951</v>
      </c>
      <c r="H991" s="23" t="str">
        <f t="shared" si="15"/>
        <v>Not Delivered</v>
      </c>
      <c r="I991" s="2" t="s">
        <v>23</v>
      </c>
      <c r="J991" s="2" t="s">
        <v>26</v>
      </c>
      <c r="L991">
        <v>0</v>
      </c>
      <c r="M991">
        <v>0</v>
      </c>
      <c r="N991">
        <v>0</v>
      </c>
      <c r="O991" t="s">
        <v>1080</v>
      </c>
      <c r="P991" s="24" t="str" cm="1">
        <f t="array" ref="P991">_xlfn.IFS(O991&lt;=6,"Detractors",AND(O991&gt;=7,O991&lt;=8),"Passives",AND(O991&gt;8,O991&lt;=10),"Promoters",O991="Not Available","NA")</f>
        <v>NA</v>
      </c>
    </row>
    <row r="992" spans="1:16" ht="14.25" customHeight="1" x14ac:dyDescent="0.3">
      <c r="A992" s="2" t="s">
        <v>1018</v>
      </c>
      <c r="B992" s="2" t="s">
        <v>32</v>
      </c>
      <c r="C992" s="2" t="s">
        <v>16</v>
      </c>
      <c r="D992" s="3">
        <v>45959</v>
      </c>
      <c r="E992" s="3">
        <v>45961</v>
      </c>
      <c r="F992" s="3">
        <v>45966</v>
      </c>
      <c r="G992" s="3">
        <v>45968</v>
      </c>
      <c r="H992" s="23" t="str">
        <f t="shared" si="15"/>
        <v>Delivered</v>
      </c>
      <c r="I992" s="2" t="s">
        <v>17</v>
      </c>
      <c r="J992" s="24" t="s">
        <v>1054</v>
      </c>
      <c r="K992" s="3">
        <v>45998</v>
      </c>
      <c r="L992" s="2">
        <v>2</v>
      </c>
      <c r="M992" s="2">
        <v>5</v>
      </c>
      <c r="N992" s="2">
        <v>2</v>
      </c>
      <c r="O992" s="36">
        <v>6</v>
      </c>
      <c r="P992" s="24" t="str" cm="1">
        <f t="array" ref="P992">_xlfn.IFS(O992&lt;=6,"Detractors",AND(O992&gt;=7,O992&lt;=8),"Passives",AND(O992&gt;8,O992&lt;=10),"Promoters",O992="Not Available","NA")</f>
        <v>Detractors</v>
      </c>
    </row>
    <row r="993" spans="1:16" ht="14.25" customHeight="1" x14ac:dyDescent="0.3">
      <c r="A993" s="42" t="s">
        <v>1019</v>
      </c>
      <c r="B993" s="2" t="s">
        <v>19</v>
      </c>
      <c r="C993" s="2" t="s">
        <v>30</v>
      </c>
      <c r="D993" s="3">
        <v>45955</v>
      </c>
      <c r="E993" s="3">
        <v>45959</v>
      </c>
      <c r="F993" s="3">
        <v>45961</v>
      </c>
      <c r="G993" s="3">
        <v>45968</v>
      </c>
      <c r="H993" s="23" t="str">
        <f t="shared" si="15"/>
        <v>Delivered</v>
      </c>
      <c r="I993" s="2" t="s">
        <v>17</v>
      </c>
      <c r="J993" s="24" t="s">
        <v>1054</v>
      </c>
      <c r="K993" s="3">
        <v>45988</v>
      </c>
      <c r="L993" s="2">
        <v>4</v>
      </c>
      <c r="M993" s="2">
        <v>2</v>
      </c>
      <c r="N993" s="2">
        <v>7</v>
      </c>
      <c r="O993" s="36">
        <v>3</v>
      </c>
      <c r="P993" s="24" t="str" cm="1">
        <f t="array" ref="P993">_xlfn.IFS(O993&lt;=6,"Detractors",AND(O993&gt;=7,O993&lt;=8),"Passives",AND(O993&gt;8,O993&lt;=10),"Promoters",O993="Not Available","NA")</f>
        <v>Detractors</v>
      </c>
    </row>
    <row r="994" spans="1:16" ht="14.25" customHeight="1" x14ac:dyDescent="0.3">
      <c r="A994" s="42" t="s">
        <v>1020</v>
      </c>
      <c r="B994" s="2" t="s">
        <v>32</v>
      </c>
      <c r="C994" s="2" t="s">
        <v>30</v>
      </c>
      <c r="D994" s="3">
        <v>45948</v>
      </c>
      <c r="E994" s="3">
        <v>45953</v>
      </c>
      <c r="F994" s="3">
        <v>45958</v>
      </c>
      <c r="G994" s="3">
        <v>45965</v>
      </c>
      <c r="H994" s="23" t="str">
        <f t="shared" si="15"/>
        <v>Delivered</v>
      </c>
      <c r="I994" s="2" t="s">
        <v>17</v>
      </c>
      <c r="J994" s="24" t="s">
        <v>1054</v>
      </c>
      <c r="K994" s="3">
        <v>45975</v>
      </c>
      <c r="L994" s="2">
        <v>5</v>
      </c>
      <c r="M994" s="2">
        <v>5</v>
      </c>
      <c r="N994" s="2">
        <v>7</v>
      </c>
      <c r="O994" s="36">
        <v>5</v>
      </c>
      <c r="P994" s="24" t="str" cm="1">
        <f t="array" ref="P994">_xlfn.IFS(O994&lt;=6,"Detractors",AND(O994&gt;=7,O994&lt;=8),"Passives",AND(O994&gt;8,O994&lt;=10),"Promoters",O994="Not Available","NA")</f>
        <v>Detractors</v>
      </c>
    </row>
    <row r="995" spans="1:16" ht="14.25" customHeight="1" x14ac:dyDescent="0.3">
      <c r="A995" s="42" t="s">
        <v>1021</v>
      </c>
      <c r="B995" s="2" t="s">
        <v>32</v>
      </c>
      <c r="C995" s="2" t="s">
        <v>30</v>
      </c>
      <c r="D995" s="3">
        <v>45954</v>
      </c>
      <c r="E995" s="3">
        <v>45957</v>
      </c>
      <c r="F995" s="3">
        <v>45959</v>
      </c>
      <c r="G995" s="3">
        <v>45963</v>
      </c>
      <c r="H995" s="23" t="str">
        <f t="shared" si="15"/>
        <v>Delivered</v>
      </c>
      <c r="I995" s="2" t="s">
        <v>17</v>
      </c>
      <c r="J995" s="24" t="s">
        <v>1054</v>
      </c>
      <c r="K995" s="3">
        <v>45989</v>
      </c>
      <c r="L995" s="2">
        <v>3</v>
      </c>
      <c r="M995" s="2">
        <v>2</v>
      </c>
      <c r="N995" s="2">
        <v>4</v>
      </c>
      <c r="O995" s="36">
        <v>7</v>
      </c>
      <c r="P995" s="24" t="str" cm="1">
        <f t="array" ref="P995">_xlfn.IFS(O995&lt;=6,"Detractors",AND(O995&gt;=7,O995&lt;=8),"Passives",AND(O995&gt;8,O995&lt;=10),"Promoters",O995="Not Available","NA")</f>
        <v>Passives</v>
      </c>
    </row>
    <row r="996" spans="1:16" ht="14.25" customHeight="1" x14ac:dyDescent="0.3">
      <c r="A996" s="42" t="s">
        <v>1022</v>
      </c>
      <c r="B996" s="2" t="s">
        <v>21</v>
      </c>
      <c r="C996" s="2" t="s">
        <v>30</v>
      </c>
      <c r="D996" s="3">
        <v>45958</v>
      </c>
      <c r="E996" s="3">
        <v>45963</v>
      </c>
      <c r="F996" s="3">
        <v>45966</v>
      </c>
      <c r="G996" s="3">
        <v>45972</v>
      </c>
      <c r="H996" s="23" t="str">
        <f t="shared" si="15"/>
        <v>Delivered</v>
      </c>
      <c r="I996" s="2" t="s">
        <v>17</v>
      </c>
      <c r="J996" s="24" t="s">
        <v>1054</v>
      </c>
      <c r="K996" s="3">
        <v>46000</v>
      </c>
      <c r="L996" s="2">
        <v>5</v>
      </c>
      <c r="M996" s="2">
        <v>3</v>
      </c>
      <c r="N996" s="2">
        <v>6</v>
      </c>
      <c r="O996" s="36">
        <v>1</v>
      </c>
      <c r="P996" s="24" t="str" cm="1">
        <f t="array" ref="P996">_xlfn.IFS(O996&lt;=6,"Detractors",AND(O996&gt;=7,O996&lt;=8),"Passives",AND(O996&gt;8,O996&lt;=10),"Promoters",O996="Not Available","NA")</f>
        <v>Detractors</v>
      </c>
    </row>
    <row r="997" spans="1:16" ht="14.25" customHeight="1" x14ac:dyDescent="0.3">
      <c r="A997" s="42" t="s">
        <v>1023</v>
      </c>
      <c r="B997" s="2" t="s">
        <v>32</v>
      </c>
      <c r="C997" s="2" t="s">
        <v>30</v>
      </c>
      <c r="D997" s="3">
        <v>45937</v>
      </c>
      <c r="E997" s="3">
        <v>45940</v>
      </c>
      <c r="F997" s="3">
        <v>45945</v>
      </c>
      <c r="G997" s="3">
        <v>45951</v>
      </c>
      <c r="H997" s="23" t="str">
        <f t="shared" si="15"/>
        <v>Delivered</v>
      </c>
      <c r="I997" s="2" t="s">
        <v>17</v>
      </c>
      <c r="J997" s="24" t="s">
        <v>1054</v>
      </c>
      <c r="K997" s="3">
        <v>45979</v>
      </c>
      <c r="L997" s="2">
        <v>3</v>
      </c>
      <c r="M997" s="2">
        <v>5</v>
      </c>
      <c r="N997" s="2">
        <v>6</v>
      </c>
      <c r="O997" s="36">
        <v>5</v>
      </c>
      <c r="P997" s="24" t="str" cm="1">
        <f t="array" ref="P997">_xlfn.IFS(O997&lt;=6,"Detractors",AND(O997&gt;=7,O997&lt;=8),"Passives",AND(O997&gt;8,O997&lt;=10),"Promoters",O997="Not Available","NA")</f>
        <v>Detractors</v>
      </c>
    </row>
    <row r="998" spans="1:16" ht="14.25" customHeight="1" x14ac:dyDescent="0.3">
      <c r="A998" s="42" t="s">
        <v>1024</v>
      </c>
      <c r="B998" s="2" t="s">
        <v>21</v>
      </c>
      <c r="C998" s="2" t="s">
        <v>30</v>
      </c>
      <c r="D998" s="3">
        <v>45944</v>
      </c>
      <c r="E998" s="3">
        <v>45949</v>
      </c>
      <c r="F998" s="3">
        <v>45953</v>
      </c>
      <c r="G998" s="3">
        <v>45956</v>
      </c>
      <c r="H998" s="23" t="str">
        <f t="shared" si="15"/>
        <v>Delivered</v>
      </c>
      <c r="I998" s="2" t="s">
        <v>17</v>
      </c>
      <c r="J998" s="24" t="s">
        <v>1054</v>
      </c>
      <c r="K998" s="3">
        <v>45973</v>
      </c>
      <c r="L998" s="2">
        <v>5</v>
      </c>
      <c r="M998" s="2">
        <v>4</v>
      </c>
      <c r="N998" s="2">
        <v>3</v>
      </c>
      <c r="O998" s="36">
        <v>7</v>
      </c>
      <c r="P998" s="24" t="str" cm="1">
        <f t="array" ref="P998">_xlfn.IFS(O998&lt;=6,"Detractors",AND(O998&gt;=7,O998&lt;=8),"Passives",AND(O998&gt;8,O998&lt;=10),"Promoters",O998="Not Available","NA")</f>
        <v>Passives</v>
      </c>
    </row>
    <row r="999" spans="1:16" ht="14.25" customHeight="1" x14ac:dyDescent="0.3">
      <c r="A999" s="2" t="s">
        <v>1025</v>
      </c>
      <c r="B999" s="2" t="s">
        <v>15</v>
      </c>
      <c r="C999" s="2" t="s">
        <v>16</v>
      </c>
      <c r="D999" s="3">
        <v>45945</v>
      </c>
      <c r="E999" s="3">
        <v>45950</v>
      </c>
      <c r="F999" s="3">
        <v>45954</v>
      </c>
      <c r="G999" s="3">
        <v>45960</v>
      </c>
      <c r="H999" s="23" t="str">
        <f t="shared" si="15"/>
        <v>Delivered</v>
      </c>
      <c r="I999" s="2" t="s">
        <v>17</v>
      </c>
      <c r="J999" s="24" t="s">
        <v>1054</v>
      </c>
      <c r="K999" s="3">
        <v>45980</v>
      </c>
      <c r="L999" s="2">
        <v>5</v>
      </c>
      <c r="M999" s="2">
        <v>4</v>
      </c>
      <c r="N999" s="2">
        <v>6</v>
      </c>
      <c r="O999" s="36">
        <v>3</v>
      </c>
      <c r="P999" s="24" t="str" cm="1">
        <f t="array" ref="P999">_xlfn.IFS(O999&lt;=6,"Detractors",AND(O999&gt;=7,O999&lt;=8),"Passives",AND(O999&gt;8,O999&lt;=10),"Promoters",O999="Not Available","NA")</f>
        <v>Detractors</v>
      </c>
    </row>
    <row r="1000" spans="1:16" ht="14.25" customHeight="1" x14ac:dyDescent="0.3">
      <c r="A1000" s="2" t="s">
        <v>1026</v>
      </c>
      <c r="B1000" s="2" t="s">
        <v>15</v>
      </c>
      <c r="C1000" s="2" t="s">
        <v>22</v>
      </c>
      <c r="D1000" s="3">
        <v>45959</v>
      </c>
      <c r="H1000" s="23" t="str">
        <f t="shared" si="15"/>
        <v>Not Delivered</v>
      </c>
      <c r="I1000" s="2" t="s">
        <v>23</v>
      </c>
      <c r="J1000" s="2" t="s">
        <v>33</v>
      </c>
      <c r="L1000">
        <v>0</v>
      </c>
      <c r="M1000">
        <v>0</v>
      </c>
      <c r="N1000">
        <v>0</v>
      </c>
      <c r="O1000" t="s">
        <v>1080</v>
      </c>
      <c r="P1000" s="24" t="str" cm="1">
        <f t="array" ref="P1000">_xlfn.IFS(O1000&lt;=6,"Detractors",AND(O1000&gt;=7,O1000&lt;=8),"Passives",AND(O1000&gt;8,O1000&lt;=10),"Promoters",O1000="Not Available","NA")</f>
        <v>NA</v>
      </c>
    </row>
    <row r="1001" spans="1:16" ht="14.25" customHeight="1" x14ac:dyDescent="0.3">
      <c r="A1001" s="2" t="s">
        <v>1027</v>
      </c>
      <c r="B1001" s="2" t="s">
        <v>21</v>
      </c>
      <c r="C1001" s="2" t="s">
        <v>16</v>
      </c>
      <c r="D1001" s="3">
        <v>45938</v>
      </c>
      <c r="E1001" s="3">
        <v>45943</v>
      </c>
      <c r="F1001" s="3">
        <v>45945</v>
      </c>
      <c r="G1001" s="3">
        <v>45948</v>
      </c>
      <c r="H1001" s="23" t="str">
        <f t="shared" si="15"/>
        <v>Delivered</v>
      </c>
      <c r="I1001" s="2" t="s">
        <v>17</v>
      </c>
      <c r="J1001" s="24" t="s">
        <v>1054</v>
      </c>
      <c r="K1001" s="3">
        <v>45974</v>
      </c>
      <c r="L1001" s="2">
        <v>5</v>
      </c>
      <c r="M1001" s="2">
        <v>2</v>
      </c>
      <c r="N1001" s="2">
        <v>3</v>
      </c>
      <c r="O1001" s="36">
        <v>4</v>
      </c>
      <c r="P1001" s="24" t="str" cm="1">
        <f t="array" ref="P1001">_xlfn.IFS(O1001&lt;=6,"Detractors",AND(O1001&gt;=7,O1001&lt;=8),"Passives",AND(O1001&gt;8,O1001&lt;=10),"Promoters",O1001="Not Available","NA")</f>
        <v>Detractors</v>
      </c>
    </row>
  </sheetData>
  <autoFilter ref="A1:O1003" xr:uid="{00000000-0009-0000-0000-000000000000}"/>
  <conditionalFormatting sqref="J1 J3:J4">
    <cfRule type="duplicateValues" dxfId="4" priority="5"/>
  </conditionalFormatting>
  <conditionalFormatting sqref="P1:P1048576">
    <cfRule type="containsText" dxfId="2" priority="12" operator="containsText" text="Passives">
      <formula>NOT(ISERROR(SEARCH("Passives",P1)))</formula>
    </cfRule>
    <cfRule type="containsText" dxfId="1" priority="13" operator="containsText" text="Promoters">
      <formula>NOT(ISERROR(SEARCH("Promoters",P1)))</formula>
    </cfRule>
  </conditionalFormatting>
  <conditionalFormatting sqref="P2:P1001">
    <cfRule type="containsText" dxfId="0" priority="4" operator="containsText" text="Detractors">
      <formula>NOT(ISERROR(SEARCH("Detractors",P2)))</formula>
    </cfRule>
  </conditionalFormatting>
  <pageMargins left="0.7" right="0.7" top="0.75" bottom="0.75" header="0" footer="0"/>
  <pageSetup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1" operator="containsText" id="{E5FBEE21-2E5E-426E-A80C-FB4032F59542}">
            <xm:f>NOT(ISERROR(SEARCH($P$6,P1)))</xm:f>
            <xm:f>$P$6</xm:f>
            <x14:dxf>
              <fill>
                <patternFill>
                  <bgColor rgb="FFFFFF00"/>
                </patternFill>
              </fill>
            </x14:dxf>
          </x14:cfRule>
          <xm:sqref>P1:P1048576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70A06-9805-4C6D-8AC9-AE8C02CAFD4B}">
  <sheetPr>
    <tabColor rgb="FFFFFF00"/>
  </sheetPr>
  <dimension ref="A1:K161"/>
  <sheetViews>
    <sheetView zoomScale="70" zoomScaleNormal="70" workbookViewId="0">
      <selection activeCell="H110" sqref="H110"/>
    </sheetView>
  </sheetViews>
  <sheetFormatPr defaultRowHeight="14.4" x14ac:dyDescent="0.3"/>
  <cols>
    <col min="3" max="3" width="18.109375" customWidth="1"/>
    <col min="4" max="4" width="13.6640625" bestFit="1" customWidth="1"/>
    <col min="5" max="5" width="30.88671875" bestFit="1" customWidth="1"/>
    <col min="6" max="6" width="27.33203125" bestFit="1" customWidth="1"/>
    <col min="7" max="7" width="27.21875" bestFit="1" customWidth="1"/>
    <col min="8" max="8" width="19.44140625" customWidth="1"/>
    <col min="9" max="9" width="19.109375" customWidth="1"/>
    <col min="10" max="10" width="19.88671875" customWidth="1"/>
    <col min="11" max="11" width="21.21875" customWidth="1"/>
    <col min="12" max="12" width="15.109375" bestFit="1" customWidth="1"/>
    <col min="13" max="13" width="25.109375" bestFit="1" customWidth="1"/>
    <col min="14" max="14" width="15.109375" bestFit="1" customWidth="1"/>
    <col min="15" max="15" width="30" bestFit="1" customWidth="1"/>
    <col min="16" max="16" width="19.88671875" bestFit="1" customWidth="1"/>
    <col min="17" max="17" width="10.77734375" bestFit="1" customWidth="1"/>
    <col min="18" max="46" width="10.33203125" bestFit="1" customWidth="1"/>
    <col min="47" max="47" width="7" bestFit="1" customWidth="1"/>
    <col min="48" max="48" width="10.77734375" bestFit="1" customWidth="1"/>
    <col min="49" max="51" width="10.33203125" bestFit="1" customWidth="1"/>
    <col min="52" max="52" width="7" bestFit="1" customWidth="1"/>
    <col min="53" max="53" width="15.109375" bestFit="1" customWidth="1"/>
    <col min="54" max="54" width="12.33203125" bestFit="1" customWidth="1"/>
    <col min="55" max="58" width="10.33203125" bestFit="1" customWidth="1"/>
    <col min="59" max="59" width="7" bestFit="1" customWidth="1"/>
    <col min="60" max="60" width="15.109375" bestFit="1" customWidth="1"/>
    <col min="61" max="61" width="12.33203125" bestFit="1" customWidth="1"/>
    <col min="62" max="65" width="10.33203125" bestFit="1" customWidth="1"/>
    <col min="66" max="66" width="7" bestFit="1" customWidth="1"/>
    <col min="67" max="67" width="15.109375" bestFit="1" customWidth="1"/>
    <col min="68" max="68" width="12.33203125" bestFit="1" customWidth="1"/>
    <col min="69" max="72" width="10.33203125" bestFit="1" customWidth="1"/>
    <col min="73" max="73" width="7" bestFit="1" customWidth="1"/>
    <col min="74" max="74" width="15.109375" bestFit="1" customWidth="1"/>
    <col min="75" max="75" width="12.33203125" bestFit="1" customWidth="1"/>
    <col min="76" max="79" width="10.33203125" bestFit="1" customWidth="1"/>
    <col min="80" max="80" width="7" bestFit="1" customWidth="1"/>
    <col min="81" max="81" width="15.109375" bestFit="1" customWidth="1"/>
    <col min="82" max="82" width="12.33203125" bestFit="1" customWidth="1"/>
    <col min="83" max="86" width="10.33203125" bestFit="1" customWidth="1"/>
    <col min="87" max="87" width="7" bestFit="1" customWidth="1"/>
    <col min="88" max="88" width="15.109375" bestFit="1" customWidth="1"/>
    <col min="89" max="89" width="12.33203125" bestFit="1" customWidth="1"/>
    <col min="90" max="93" width="10.33203125" bestFit="1" customWidth="1"/>
    <col min="94" max="94" width="7" bestFit="1" customWidth="1"/>
    <col min="95" max="95" width="15.109375" bestFit="1" customWidth="1"/>
    <col min="96" max="96" width="12.33203125" bestFit="1" customWidth="1"/>
    <col min="97" max="100" width="10.33203125" bestFit="1" customWidth="1"/>
    <col min="101" max="101" width="7" bestFit="1" customWidth="1"/>
    <col min="102" max="102" width="15.109375" bestFit="1" customWidth="1"/>
    <col min="103" max="103" width="12.33203125" bestFit="1" customWidth="1"/>
    <col min="104" max="107" width="10.33203125" bestFit="1" customWidth="1"/>
    <col min="108" max="108" width="7" bestFit="1" customWidth="1"/>
    <col min="109" max="109" width="15.109375" bestFit="1" customWidth="1"/>
    <col min="110" max="110" width="12.33203125" bestFit="1" customWidth="1"/>
    <col min="111" max="114" width="10.33203125" bestFit="1" customWidth="1"/>
    <col min="115" max="115" width="7" bestFit="1" customWidth="1"/>
    <col min="116" max="116" width="15.109375" bestFit="1" customWidth="1"/>
    <col min="117" max="117" width="12.33203125" bestFit="1" customWidth="1"/>
    <col min="118" max="121" width="10.33203125" bestFit="1" customWidth="1"/>
    <col min="122" max="122" width="7" bestFit="1" customWidth="1"/>
    <col min="123" max="123" width="15.109375" bestFit="1" customWidth="1"/>
    <col min="124" max="124" width="12.33203125" bestFit="1" customWidth="1"/>
    <col min="125" max="128" width="10.33203125" bestFit="1" customWidth="1"/>
    <col min="129" max="129" width="7" bestFit="1" customWidth="1"/>
    <col min="130" max="130" width="15.109375" bestFit="1" customWidth="1"/>
    <col min="131" max="131" width="12.33203125" bestFit="1" customWidth="1"/>
    <col min="132" max="135" width="10.33203125" bestFit="1" customWidth="1"/>
    <col min="136" max="136" width="7" bestFit="1" customWidth="1"/>
    <col min="137" max="137" width="15.109375" bestFit="1" customWidth="1"/>
    <col min="138" max="138" width="12.33203125" bestFit="1" customWidth="1"/>
    <col min="139" max="142" width="10.33203125" bestFit="1" customWidth="1"/>
    <col min="143" max="143" width="7" bestFit="1" customWidth="1"/>
    <col min="144" max="144" width="15.109375" bestFit="1" customWidth="1"/>
    <col min="145" max="145" width="12.33203125" bestFit="1" customWidth="1"/>
    <col min="146" max="149" width="10.33203125" bestFit="1" customWidth="1"/>
    <col min="150" max="150" width="7" bestFit="1" customWidth="1"/>
    <col min="151" max="151" width="15.109375" bestFit="1" customWidth="1"/>
    <col min="152" max="152" width="12.33203125" bestFit="1" customWidth="1"/>
    <col min="153" max="156" width="10.33203125" bestFit="1" customWidth="1"/>
    <col min="157" max="157" width="7" bestFit="1" customWidth="1"/>
    <col min="158" max="158" width="15.109375" bestFit="1" customWidth="1"/>
    <col min="159" max="159" width="12.33203125" bestFit="1" customWidth="1"/>
    <col min="160" max="163" width="10.33203125" bestFit="1" customWidth="1"/>
    <col min="164" max="164" width="7" bestFit="1" customWidth="1"/>
    <col min="165" max="165" width="15.109375" bestFit="1" customWidth="1"/>
    <col min="166" max="166" width="12.33203125" bestFit="1" customWidth="1"/>
    <col min="167" max="170" width="10.33203125" bestFit="1" customWidth="1"/>
    <col min="171" max="171" width="7" bestFit="1" customWidth="1"/>
    <col min="172" max="172" width="15.109375" bestFit="1" customWidth="1"/>
    <col min="173" max="173" width="12.33203125" bestFit="1" customWidth="1"/>
    <col min="174" max="177" width="10.33203125" bestFit="1" customWidth="1"/>
    <col min="178" max="178" width="7" bestFit="1" customWidth="1"/>
    <col min="179" max="179" width="15.109375" bestFit="1" customWidth="1"/>
    <col min="180" max="180" width="12.33203125" bestFit="1" customWidth="1"/>
    <col min="181" max="184" width="10.33203125" bestFit="1" customWidth="1"/>
    <col min="185" max="185" width="7" bestFit="1" customWidth="1"/>
    <col min="186" max="186" width="15.109375" bestFit="1" customWidth="1"/>
    <col min="187" max="187" width="12.33203125" bestFit="1" customWidth="1"/>
    <col min="188" max="191" width="10.33203125" bestFit="1" customWidth="1"/>
    <col min="192" max="192" width="7" bestFit="1" customWidth="1"/>
    <col min="193" max="193" width="15.109375" bestFit="1" customWidth="1"/>
    <col min="194" max="194" width="12.33203125" bestFit="1" customWidth="1"/>
    <col min="195" max="198" width="10.33203125" bestFit="1" customWidth="1"/>
    <col min="199" max="199" width="7" bestFit="1" customWidth="1"/>
    <col min="200" max="200" width="15.109375" bestFit="1" customWidth="1"/>
    <col min="201" max="201" width="12.33203125" bestFit="1" customWidth="1"/>
    <col min="202" max="205" width="10.33203125" bestFit="1" customWidth="1"/>
    <col min="206" max="206" width="7" bestFit="1" customWidth="1"/>
    <col min="207" max="207" width="15.109375" bestFit="1" customWidth="1"/>
    <col min="208" max="208" width="12.33203125" bestFit="1" customWidth="1"/>
    <col min="209" max="212" width="10.33203125" bestFit="1" customWidth="1"/>
    <col min="213" max="213" width="7" bestFit="1" customWidth="1"/>
    <col min="214" max="214" width="15.109375" bestFit="1" customWidth="1"/>
    <col min="215" max="215" width="12.33203125" bestFit="1" customWidth="1"/>
    <col min="216" max="219" width="10.33203125" bestFit="1" customWidth="1"/>
    <col min="220" max="220" width="7" bestFit="1" customWidth="1"/>
    <col min="221" max="221" width="15.109375" bestFit="1" customWidth="1"/>
    <col min="222" max="222" width="12.33203125" bestFit="1" customWidth="1"/>
    <col min="223" max="226" width="10.33203125" bestFit="1" customWidth="1"/>
    <col min="227" max="227" width="7" bestFit="1" customWidth="1"/>
    <col min="228" max="228" width="15.109375" bestFit="1" customWidth="1"/>
    <col min="229" max="229" width="10.77734375" bestFit="1" customWidth="1"/>
  </cols>
  <sheetData>
    <row r="1" spans="1:11" s="61" customFormat="1" x14ac:dyDescent="0.3">
      <c r="A1" s="61" t="s">
        <v>1066</v>
      </c>
    </row>
    <row r="2" spans="1:11" s="64" customFormat="1" x14ac:dyDescent="0.3">
      <c r="A2" s="64" t="s">
        <v>1082</v>
      </c>
    </row>
    <row r="4" spans="1:11" x14ac:dyDescent="0.3">
      <c r="C4" s="2"/>
    </row>
    <row r="5" spans="1:11" x14ac:dyDescent="0.3">
      <c r="C5" s="2"/>
      <c r="D5" s="9" t="s">
        <v>1</v>
      </c>
      <c r="E5" s="7" t="s">
        <v>1030</v>
      </c>
      <c r="F5" s="7" t="s">
        <v>1031</v>
      </c>
      <c r="G5" s="7" t="s">
        <v>1032</v>
      </c>
      <c r="H5" s="7" t="s">
        <v>1033</v>
      </c>
    </row>
    <row r="6" spans="1:11" x14ac:dyDescent="0.3">
      <c r="C6" s="2"/>
      <c r="D6" s="10" t="s">
        <v>15</v>
      </c>
      <c r="E6" s="7">
        <v>263</v>
      </c>
      <c r="F6" s="7">
        <v>212</v>
      </c>
      <c r="G6" s="7">
        <v>212</v>
      </c>
      <c r="H6" s="7">
        <v>212</v>
      </c>
    </row>
    <row r="7" spans="1:11" x14ac:dyDescent="0.3">
      <c r="C7" s="2"/>
      <c r="D7" s="10" t="s">
        <v>32</v>
      </c>
      <c r="E7" s="7">
        <v>212</v>
      </c>
      <c r="F7" s="7">
        <v>173</v>
      </c>
      <c r="G7" s="7">
        <v>173</v>
      </c>
      <c r="H7" s="7">
        <v>173</v>
      </c>
    </row>
    <row r="8" spans="1:11" x14ac:dyDescent="0.3">
      <c r="D8" s="10" t="s">
        <v>19</v>
      </c>
      <c r="E8" s="7">
        <v>263</v>
      </c>
      <c r="F8" s="7">
        <v>212</v>
      </c>
      <c r="G8" s="7">
        <v>212</v>
      </c>
      <c r="H8" s="7">
        <v>212</v>
      </c>
    </row>
    <row r="9" spans="1:11" x14ac:dyDescent="0.3">
      <c r="D9" s="10" t="s">
        <v>21</v>
      </c>
      <c r="E9" s="7">
        <v>262</v>
      </c>
      <c r="F9" s="7">
        <v>215</v>
      </c>
      <c r="G9" s="7">
        <v>215</v>
      </c>
      <c r="H9" s="7">
        <v>215</v>
      </c>
    </row>
    <row r="10" spans="1:11" ht="18" customHeight="1" x14ac:dyDescent="0.3">
      <c r="D10" s="10" t="s">
        <v>1029</v>
      </c>
      <c r="E10" s="7">
        <v>1000</v>
      </c>
      <c r="F10" s="7">
        <v>812</v>
      </c>
      <c r="G10" s="7">
        <v>812</v>
      </c>
      <c r="H10" s="7">
        <v>812</v>
      </c>
    </row>
    <row r="11" spans="1:11" ht="37.200000000000003" customHeight="1" x14ac:dyDescent="0.3"/>
    <row r="12" spans="1:11" ht="34.200000000000003" customHeight="1" x14ac:dyDescent="0.3">
      <c r="A12" s="67" t="s">
        <v>1039</v>
      </c>
      <c r="B12" s="67"/>
      <c r="C12" s="68"/>
      <c r="D12" s="12" t="s">
        <v>1034</v>
      </c>
      <c r="E12" s="11" t="s">
        <v>1030</v>
      </c>
      <c r="F12" s="11" t="s">
        <v>1031</v>
      </c>
      <c r="G12" s="11" t="s">
        <v>1032</v>
      </c>
      <c r="H12" s="11" t="s">
        <v>1035</v>
      </c>
      <c r="I12" s="11" t="s">
        <v>1036</v>
      </c>
      <c r="J12" s="11" t="s">
        <v>1037</v>
      </c>
      <c r="K12" s="11" t="s">
        <v>1038</v>
      </c>
    </row>
    <row r="13" spans="1:11" x14ac:dyDescent="0.3">
      <c r="D13" s="5" t="s">
        <v>15</v>
      </c>
      <c r="E13" s="7">
        <f>COUNTIFS(Sheet1!$B:$B,Solutions!D13)</f>
        <v>263</v>
      </c>
      <c r="F13" s="7">
        <v>212</v>
      </c>
      <c r="G13" s="7">
        <v>212</v>
      </c>
      <c r="H13" s="7">
        <v>212</v>
      </c>
      <c r="I13" s="8">
        <f>F13/E13</f>
        <v>0.80608365019011408</v>
      </c>
      <c r="J13" s="8">
        <f>G13/F13</f>
        <v>1</v>
      </c>
      <c r="K13" s="8">
        <f>H13/G13</f>
        <v>1</v>
      </c>
    </row>
    <row r="14" spans="1:11" x14ac:dyDescent="0.3">
      <c r="D14" s="5" t="s">
        <v>32</v>
      </c>
      <c r="E14" s="7">
        <f>COUNTIFS(Sheet1!$B:$B,Solutions!D14)</f>
        <v>212</v>
      </c>
      <c r="F14" s="7">
        <v>173</v>
      </c>
      <c r="G14" s="7">
        <v>173</v>
      </c>
      <c r="H14" s="7">
        <v>173</v>
      </c>
      <c r="I14" s="8">
        <f t="shared" ref="I14:I16" si="0">F14/E14</f>
        <v>0.81603773584905659</v>
      </c>
      <c r="J14" s="8">
        <f t="shared" ref="J14:J16" si="1">G14/F14</f>
        <v>1</v>
      </c>
      <c r="K14" s="8">
        <f t="shared" ref="K14:K16" si="2">H14/G14</f>
        <v>1</v>
      </c>
    </row>
    <row r="15" spans="1:11" x14ac:dyDescent="0.3">
      <c r="D15" s="5" t="s">
        <v>19</v>
      </c>
      <c r="E15" s="7">
        <f>COUNTIFS(Sheet1!$B:$B,Solutions!D15)</f>
        <v>263</v>
      </c>
      <c r="F15" s="7">
        <v>212</v>
      </c>
      <c r="G15" s="7">
        <v>212</v>
      </c>
      <c r="H15" s="7">
        <v>212</v>
      </c>
      <c r="I15" s="8">
        <f t="shared" si="0"/>
        <v>0.80608365019011408</v>
      </c>
      <c r="J15" s="8">
        <f t="shared" si="1"/>
        <v>1</v>
      </c>
      <c r="K15" s="8">
        <f t="shared" si="2"/>
        <v>1</v>
      </c>
    </row>
    <row r="16" spans="1:11" x14ac:dyDescent="0.3">
      <c r="D16" s="5" t="s">
        <v>21</v>
      </c>
      <c r="E16" s="7">
        <f>COUNTIFS(Sheet1!$B:$B,Solutions!D16)</f>
        <v>262</v>
      </c>
      <c r="F16" s="7">
        <v>215</v>
      </c>
      <c r="G16" s="7">
        <v>215</v>
      </c>
      <c r="H16" s="7">
        <v>215</v>
      </c>
      <c r="I16" s="8">
        <f t="shared" si="0"/>
        <v>0.82061068702290074</v>
      </c>
      <c r="J16" s="8">
        <f t="shared" si="1"/>
        <v>1</v>
      </c>
      <c r="K16" s="8">
        <f t="shared" si="2"/>
        <v>1</v>
      </c>
    </row>
    <row r="18" spans="1:9" ht="32.4" customHeight="1" x14ac:dyDescent="0.3">
      <c r="A18" s="67" t="s">
        <v>1040</v>
      </c>
      <c r="B18" s="67"/>
      <c r="C18" s="67"/>
      <c r="D18" s="5" t="s">
        <v>1034</v>
      </c>
      <c r="E18" s="11" t="s">
        <v>1041</v>
      </c>
    </row>
    <row r="19" spans="1:9" x14ac:dyDescent="0.3">
      <c r="D19" s="5" t="s">
        <v>15</v>
      </c>
      <c r="E19" s="8">
        <f>H13/E13</f>
        <v>0.80608365019011408</v>
      </c>
    </row>
    <row r="20" spans="1:9" x14ac:dyDescent="0.3">
      <c r="D20" s="5" t="s">
        <v>32</v>
      </c>
      <c r="E20" s="8">
        <f t="shared" ref="E20:E22" si="3">H14/E14</f>
        <v>0.81603773584905659</v>
      </c>
    </row>
    <row r="21" spans="1:9" x14ac:dyDescent="0.3">
      <c r="D21" s="5" t="s">
        <v>19</v>
      </c>
      <c r="E21" s="8">
        <f t="shared" si="3"/>
        <v>0.80608365019011408</v>
      </c>
    </row>
    <row r="22" spans="1:9" x14ac:dyDescent="0.3">
      <c r="D22" s="5" t="s">
        <v>21</v>
      </c>
      <c r="E22" s="8">
        <f t="shared" si="3"/>
        <v>0.82061068702290074</v>
      </c>
    </row>
    <row r="24" spans="1:9" x14ac:dyDescent="0.3">
      <c r="E24" s="48"/>
      <c r="F24" s="34"/>
      <c r="G24" s="34"/>
      <c r="H24" s="34"/>
      <c r="I24" s="34"/>
    </row>
    <row r="25" spans="1:9" x14ac:dyDescent="0.3">
      <c r="E25" s="43"/>
    </row>
    <row r="30" spans="1:9" s="62" customFormat="1" x14ac:dyDescent="0.3">
      <c r="A30" s="61" t="s">
        <v>1067</v>
      </c>
    </row>
    <row r="31" spans="1:9" s="64" customFormat="1" x14ac:dyDescent="0.3">
      <c r="A31" s="64" t="s">
        <v>1082</v>
      </c>
    </row>
    <row r="34" spans="4:7" x14ac:dyDescent="0.3">
      <c r="D34" s="9" t="s">
        <v>1</v>
      </c>
      <c r="E34" s="7" t="s">
        <v>1042</v>
      </c>
      <c r="F34" s="7" t="s">
        <v>1043</v>
      </c>
      <c r="G34" s="7" t="s">
        <v>1044</v>
      </c>
    </row>
    <row r="35" spans="4:7" x14ac:dyDescent="0.3">
      <c r="D35" s="10" t="s">
        <v>15</v>
      </c>
      <c r="E35" s="15">
        <v>3.1179245283018866</v>
      </c>
      <c r="F35" s="15">
        <v>3.0330188679245285</v>
      </c>
      <c r="G35" s="15">
        <v>4.5141509433962268</v>
      </c>
    </row>
    <row r="36" spans="4:7" x14ac:dyDescent="0.3">
      <c r="D36" s="10" t="s">
        <v>32</v>
      </c>
      <c r="E36" s="15">
        <v>3.1213872832369942</v>
      </c>
      <c r="F36" s="15">
        <v>3.2023121387283235</v>
      </c>
      <c r="G36" s="15">
        <v>4.3872832369942198</v>
      </c>
    </row>
    <row r="37" spans="4:7" x14ac:dyDescent="0.3">
      <c r="D37" s="10" t="s">
        <v>19</v>
      </c>
      <c r="E37" s="15">
        <v>3.0283018867924527</v>
      </c>
      <c r="F37" s="15">
        <v>3.0188679245283021</v>
      </c>
      <c r="G37" s="15">
        <v>4.283018867924528</v>
      </c>
    </row>
    <row r="38" spans="4:7" x14ac:dyDescent="0.3">
      <c r="D38" s="10" t="s">
        <v>21</v>
      </c>
      <c r="E38" s="15">
        <v>2.9767441860465116</v>
      </c>
      <c r="F38" s="15">
        <v>3.0465116279069768</v>
      </c>
      <c r="G38" s="15">
        <v>4.6279069767441863</v>
      </c>
    </row>
    <row r="39" spans="4:7" x14ac:dyDescent="0.3">
      <c r="D39" s="10" t="s">
        <v>1029</v>
      </c>
      <c r="E39" s="15">
        <v>3.0578817733990147</v>
      </c>
      <c r="F39" s="15">
        <v>3.0689655172413794</v>
      </c>
      <c r="G39" s="15">
        <v>4.4568965517241379</v>
      </c>
    </row>
    <row r="42" spans="4:7" ht="28.8" x14ac:dyDescent="0.3">
      <c r="D42" s="12" t="s">
        <v>1</v>
      </c>
      <c r="E42" s="14" t="s">
        <v>1045</v>
      </c>
      <c r="F42" s="14" t="s">
        <v>1047</v>
      </c>
      <c r="G42" s="14" t="s">
        <v>1046</v>
      </c>
    </row>
    <row r="43" spans="4:7" x14ac:dyDescent="0.3">
      <c r="D43" s="5" t="s">
        <v>15</v>
      </c>
      <c r="E43" s="15">
        <v>3.1179245283018902</v>
      </c>
      <c r="F43" s="15">
        <v>3.0330188679245285</v>
      </c>
      <c r="G43" s="15">
        <v>4.5141509433962268</v>
      </c>
    </row>
    <row r="44" spans="4:7" x14ac:dyDescent="0.3">
      <c r="D44" s="5" t="s">
        <v>32</v>
      </c>
      <c r="E44" s="15">
        <v>3.1213872832369942</v>
      </c>
      <c r="F44" s="15">
        <v>3.2023121387283235</v>
      </c>
      <c r="G44" s="15">
        <v>4.3872832369942198</v>
      </c>
    </row>
    <row r="45" spans="4:7" x14ac:dyDescent="0.3">
      <c r="D45" s="5" t="s">
        <v>19</v>
      </c>
      <c r="E45" s="15">
        <v>3.0283018867924527</v>
      </c>
      <c r="F45" s="15">
        <v>3.0188679245283021</v>
      </c>
      <c r="G45" s="15">
        <v>4.283018867924528</v>
      </c>
    </row>
    <row r="46" spans="4:7" x14ac:dyDescent="0.3">
      <c r="D46" s="5" t="s">
        <v>21</v>
      </c>
      <c r="E46" s="15">
        <v>2.9767441860465116</v>
      </c>
      <c r="F46" s="15">
        <v>3.0465116279069768</v>
      </c>
      <c r="G46" s="15">
        <v>4.6279069767441863</v>
      </c>
    </row>
    <row r="53" spans="1:10" s="62" customFormat="1" x14ac:dyDescent="0.3">
      <c r="A53" s="61" t="s">
        <v>1068</v>
      </c>
    </row>
    <row r="54" spans="1:10" s="64" customFormat="1" x14ac:dyDescent="0.3">
      <c r="A54" s="63" t="s">
        <v>1083</v>
      </c>
    </row>
    <row r="57" spans="1:10" ht="28.8" x14ac:dyDescent="0.3">
      <c r="D57" s="16" t="s">
        <v>1028</v>
      </c>
      <c r="E57" s="9" t="s">
        <v>7</v>
      </c>
      <c r="F57" s="20"/>
      <c r="G57" s="18"/>
      <c r="H57" s="17"/>
      <c r="I57" s="20"/>
      <c r="J57" s="18"/>
    </row>
    <row r="58" spans="1:10" x14ac:dyDescent="0.3">
      <c r="D58" s="19" t="s">
        <v>1</v>
      </c>
      <c r="E58" s="20" t="s">
        <v>33</v>
      </c>
      <c r="F58" s="18" t="s">
        <v>63</v>
      </c>
      <c r="G58" s="18" t="s">
        <v>26</v>
      </c>
      <c r="H58" s="17" t="s">
        <v>24</v>
      </c>
      <c r="I58" s="20" t="s">
        <v>101</v>
      </c>
      <c r="J58" s="20" t="s">
        <v>1029</v>
      </c>
    </row>
    <row r="59" spans="1:10" x14ac:dyDescent="0.3">
      <c r="D59" s="10" t="s">
        <v>15</v>
      </c>
      <c r="E59" s="7">
        <v>13</v>
      </c>
      <c r="F59" s="7">
        <v>14</v>
      </c>
      <c r="G59" s="7">
        <v>13</v>
      </c>
      <c r="H59" s="7">
        <v>22</v>
      </c>
      <c r="I59" s="7">
        <v>10</v>
      </c>
      <c r="J59" s="7">
        <v>72</v>
      </c>
    </row>
    <row r="60" spans="1:10" x14ac:dyDescent="0.3">
      <c r="D60" s="10" t="s">
        <v>32</v>
      </c>
      <c r="E60" s="7">
        <v>15</v>
      </c>
      <c r="F60" s="7">
        <v>10</v>
      </c>
      <c r="G60" s="7">
        <v>8</v>
      </c>
      <c r="H60" s="7">
        <v>8</v>
      </c>
      <c r="I60" s="7">
        <v>18</v>
      </c>
      <c r="J60" s="7">
        <v>59</v>
      </c>
    </row>
    <row r="61" spans="1:10" x14ac:dyDescent="0.3">
      <c r="D61" s="10" t="s">
        <v>19</v>
      </c>
      <c r="E61" s="7">
        <v>14</v>
      </c>
      <c r="F61" s="7">
        <v>21</v>
      </c>
      <c r="G61" s="7">
        <v>13</v>
      </c>
      <c r="H61" s="7">
        <v>13</v>
      </c>
      <c r="I61" s="7">
        <v>16</v>
      </c>
      <c r="J61" s="7">
        <v>77</v>
      </c>
    </row>
    <row r="62" spans="1:10" x14ac:dyDescent="0.3">
      <c r="D62" s="10" t="s">
        <v>21</v>
      </c>
      <c r="E62" s="7">
        <v>9</v>
      </c>
      <c r="F62" s="7">
        <v>14</v>
      </c>
      <c r="G62" s="7">
        <v>9</v>
      </c>
      <c r="H62" s="7">
        <v>14</v>
      </c>
      <c r="I62" s="7">
        <v>17</v>
      </c>
      <c r="J62" s="7">
        <v>63</v>
      </c>
    </row>
    <row r="63" spans="1:10" x14ac:dyDescent="0.3">
      <c r="D63" s="10" t="s">
        <v>1029</v>
      </c>
      <c r="E63" s="7">
        <v>51</v>
      </c>
      <c r="F63" s="7">
        <v>59</v>
      </c>
      <c r="G63" s="7">
        <v>43</v>
      </c>
      <c r="H63" s="7">
        <v>57</v>
      </c>
      <c r="I63" s="7">
        <v>61</v>
      </c>
      <c r="J63" s="7">
        <v>271</v>
      </c>
    </row>
    <row r="67" spans="1:11" x14ac:dyDescent="0.3">
      <c r="E67" s="59" t="s">
        <v>8</v>
      </c>
      <c r="F67" s="60"/>
      <c r="G67" s="60"/>
      <c r="H67" s="60"/>
      <c r="I67" s="60"/>
      <c r="J67" s="60"/>
    </row>
    <row r="68" spans="1:11" x14ac:dyDescent="0.3">
      <c r="D68" s="21" t="s">
        <v>1</v>
      </c>
      <c r="E68" s="21" t="s">
        <v>1048</v>
      </c>
      <c r="F68" s="21" t="s">
        <v>1049</v>
      </c>
      <c r="G68" s="21" t="s">
        <v>26</v>
      </c>
      <c r="H68" s="21" t="s">
        <v>24</v>
      </c>
      <c r="I68" s="21" t="s">
        <v>101</v>
      </c>
      <c r="J68" s="21" t="s">
        <v>1029</v>
      </c>
      <c r="K68" s="37" t="s">
        <v>1079</v>
      </c>
    </row>
    <row r="69" spans="1:11" x14ac:dyDescent="0.3">
      <c r="D69" s="5" t="s">
        <v>15</v>
      </c>
      <c r="E69" s="7">
        <f>COUNTIFS(Sheet1!$B:$B,Solutions!D69,Sheet1!J:J,Solutions!$E$68)</f>
        <v>13</v>
      </c>
      <c r="F69" s="7">
        <f>COUNTIFS(Sheet1!$B:$B,Solutions!D69,Sheet1!$J:$J,Solutions!$F$68)</f>
        <v>14</v>
      </c>
      <c r="G69" s="7">
        <f>COUNTIFS(Sheet1!B:B,Solutions!D69,Sheet1!J:J,Solutions!$G$68)</f>
        <v>13</v>
      </c>
      <c r="H69" s="7">
        <f>COUNTIFS(Sheet1!$B:$B,Solutions!D69,Sheet1!J:J,Solutions!$H$68)</f>
        <v>22</v>
      </c>
      <c r="I69" s="7">
        <f>COUNTIFS(Sheet1!$B:$B,Solutions!D69,Sheet1!$J:$J,Solutions!$I$68)</f>
        <v>10</v>
      </c>
      <c r="J69" s="7">
        <f>SUM(E69:I69)</f>
        <v>72</v>
      </c>
      <c r="K69" s="8">
        <f>J69/E13</f>
        <v>0.27376425855513309</v>
      </c>
    </row>
    <row r="70" spans="1:11" x14ac:dyDescent="0.3">
      <c r="D70" s="5" t="s">
        <v>32</v>
      </c>
      <c r="E70" s="7">
        <f>COUNTIFS(Sheet1!$B:$B,Solutions!D70,Sheet1!J:J,Solutions!$E$68)</f>
        <v>15</v>
      </c>
      <c r="F70" s="7">
        <f>COUNTIFS(Sheet1!$B:$B,Solutions!D70,Sheet1!$J:$J,Solutions!$F$68)</f>
        <v>10</v>
      </c>
      <c r="G70" s="7">
        <f>COUNTIFS(Sheet1!B:B,Solutions!D70,Sheet1!J:J,Solutions!$G$68)</f>
        <v>8</v>
      </c>
      <c r="H70" s="7">
        <f>COUNTIFS(Sheet1!$B:$B,Solutions!D70,Sheet1!J:J,Solutions!$H$68)</f>
        <v>8</v>
      </c>
      <c r="I70" s="7">
        <f>COUNTIFS(Sheet1!$B:$B,Solutions!D70,Sheet1!$J:$J,Solutions!$I$68)</f>
        <v>18</v>
      </c>
      <c r="J70" s="7">
        <f t="shared" ref="J70:J72" si="4">SUM(E70:I70)</f>
        <v>59</v>
      </c>
      <c r="K70" s="8">
        <f t="shared" ref="K70:K72" si="5">J70/E14</f>
        <v>0.27830188679245282</v>
      </c>
    </row>
    <row r="71" spans="1:11" x14ac:dyDescent="0.3">
      <c r="D71" s="5" t="s">
        <v>19</v>
      </c>
      <c r="E71" s="7">
        <f>COUNTIFS(Sheet1!$B:$B,Solutions!D71,Sheet1!J:J,Solutions!$E$68)</f>
        <v>14</v>
      </c>
      <c r="F71" s="7">
        <f>COUNTIFS(Sheet1!$B:$B,Solutions!D71,Sheet1!$J:$J,Solutions!$F$68)</f>
        <v>21</v>
      </c>
      <c r="G71" s="7">
        <f>COUNTIFS(Sheet1!B:B,Solutions!D71,Sheet1!J:J,Solutions!$G$68)</f>
        <v>13</v>
      </c>
      <c r="H71" s="7">
        <f>COUNTIFS(Sheet1!$B:$B,Solutions!D71,Sheet1!J:J,Solutions!$H$68)</f>
        <v>13</v>
      </c>
      <c r="I71" s="7">
        <f>COUNTIFS(Sheet1!$B:$B,Solutions!D71,Sheet1!$J:$J,Solutions!$I$68)</f>
        <v>16</v>
      </c>
      <c r="J71" s="7">
        <f t="shared" si="4"/>
        <v>77</v>
      </c>
      <c r="K71" s="8">
        <f t="shared" si="5"/>
        <v>0.29277566539923955</v>
      </c>
    </row>
    <row r="72" spans="1:11" x14ac:dyDescent="0.3">
      <c r="D72" s="5" t="s">
        <v>21</v>
      </c>
      <c r="E72" s="7">
        <f>COUNTIFS(Sheet1!$B:$B,Solutions!D72,Sheet1!J:J,Solutions!$E$68)</f>
        <v>9</v>
      </c>
      <c r="F72" s="7">
        <f>COUNTIFS(Sheet1!$B:$B,Solutions!D72,Sheet1!$J:$J,Solutions!$F$68)</f>
        <v>14</v>
      </c>
      <c r="G72" s="7">
        <f>COUNTIFS(Sheet1!B:B,Solutions!D72,Sheet1!J:J,Solutions!$G$68)</f>
        <v>9</v>
      </c>
      <c r="H72" s="7">
        <f>COUNTIFS(Sheet1!$B:$B,Solutions!D72,Sheet1!J:J,Solutions!$H$68)</f>
        <v>14</v>
      </c>
      <c r="I72" s="7">
        <f>COUNTIFS(Sheet1!$B:$B,Solutions!D72,Sheet1!$J:$J,Solutions!$I$68)</f>
        <v>17</v>
      </c>
      <c r="J72" s="7">
        <f t="shared" si="4"/>
        <v>63</v>
      </c>
      <c r="K72" s="8">
        <f t="shared" si="5"/>
        <v>0.24045801526717558</v>
      </c>
    </row>
    <row r="73" spans="1:11" x14ac:dyDescent="0.3">
      <c r="J73" s="6">
        <f>SUM(J69:J72)</f>
        <v>271</v>
      </c>
    </row>
    <row r="80" spans="1:11" s="62" customFormat="1" x14ac:dyDescent="0.3">
      <c r="A80" s="61" t="s">
        <v>1069</v>
      </c>
    </row>
    <row r="81" spans="1:10" s="64" customFormat="1" x14ac:dyDescent="0.3">
      <c r="A81" s="63" t="s">
        <v>1083</v>
      </c>
    </row>
    <row r="84" spans="1:10" x14ac:dyDescent="0.3">
      <c r="D84" s="25" t="s">
        <v>2</v>
      </c>
      <c r="E84" s="14" t="s">
        <v>1050</v>
      </c>
      <c r="F84" s="14" t="s">
        <v>1051</v>
      </c>
    </row>
    <row r="85" spans="1:10" x14ac:dyDescent="0.3">
      <c r="D85" s="5" t="s">
        <v>22</v>
      </c>
      <c r="E85" s="7">
        <f>COUNTIF(Sheet1!$C:$C,Solutions!D85)</f>
        <v>188</v>
      </c>
      <c r="F85" s="8">
        <f>E85/$E$88</f>
        <v>0.188</v>
      </c>
    </row>
    <row r="86" spans="1:10" x14ac:dyDescent="0.3">
      <c r="D86" s="5" t="s">
        <v>30</v>
      </c>
      <c r="E86" s="7">
        <f>COUNTIF(Sheet1!$C:$C,Solutions!D86)</f>
        <v>303</v>
      </c>
      <c r="F86" s="8">
        <f t="shared" ref="F86:F87" si="6">E86/$E$88</f>
        <v>0.30299999999999999</v>
      </c>
    </row>
    <row r="87" spans="1:10" x14ac:dyDescent="0.3">
      <c r="D87" s="5" t="s">
        <v>16</v>
      </c>
      <c r="E87" s="7">
        <f>COUNTIF(Sheet1!$C:$C,Solutions!D87)</f>
        <v>509</v>
      </c>
      <c r="F87" s="8">
        <f t="shared" si="6"/>
        <v>0.50900000000000001</v>
      </c>
    </row>
    <row r="88" spans="1:10" x14ac:dyDescent="0.3">
      <c r="D88" s="10" t="s">
        <v>1052</v>
      </c>
      <c r="E88" s="7">
        <f>SUM(E85:E87)</f>
        <v>1000</v>
      </c>
    </row>
    <row r="91" spans="1:10" x14ac:dyDescent="0.3">
      <c r="D91" s="25" t="s">
        <v>2</v>
      </c>
      <c r="E91" s="21" t="s">
        <v>1055</v>
      </c>
      <c r="F91" s="21" t="s">
        <v>1056</v>
      </c>
      <c r="G91" s="21" t="s">
        <v>1057</v>
      </c>
    </row>
    <row r="92" spans="1:10" x14ac:dyDescent="0.3">
      <c r="D92" s="5" t="s">
        <v>22</v>
      </c>
      <c r="E92" s="7">
        <f>COUNTIFS(Sheet1!C:C, "Cold", Sheet1!H:H,"Delivered")</f>
        <v>0</v>
      </c>
      <c r="F92" s="7">
        <f>COUNTIFS(Sheet1!C:C, "Cold", Sheet1!H:H,"Not Delivered")</f>
        <v>188</v>
      </c>
      <c r="G92" s="8">
        <f>E92/(E92+F92)</f>
        <v>0</v>
      </c>
    </row>
    <row r="93" spans="1:10" x14ac:dyDescent="0.3">
      <c r="D93" s="5" t="s">
        <v>30</v>
      </c>
      <c r="E93" s="7">
        <f>COUNTIFS(Sheet1!C:C, "Hot", Sheet1!H:H,"Delivered")</f>
        <v>303</v>
      </c>
      <c r="F93" s="7">
        <f>COUNTIFS(Sheet1!C:C, "Hot", Sheet1!H:H,"Not Delivered")</f>
        <v>0</v>
      </c>
      <c r="G93" s="8">
        <f t="shared" ref="G93:G94" si="7">E93/(E93+F93)</f>
        <v>1</v>
      </c>
    </row>
    <row r="94" spans="1:10" x14ac:dyDescent="0.3">
      <c r="D94" s="5" t="s">
        <v>16</v>
      </c>
      <c r="E94" s="7">
        <f>COUNTIFS(Sheet1!C:C, "Warm", Sheet1!H:H,"Delivered")</f>
        <v>509</v>
      </c>
      <c r="F94" s="7">
        <f>COUNTIFS(Sheet1!C:C, "Warm", Sheet1!H:H,"Not Delivered")</f>
        <v>0</v>
      </c>
      <c r="G94" s="8">
        <f t="shared" si="7"/>
        <v>1</v>
      </c>
      <c r="J94" s="13" t="s">
        <v>1058</v>
      </c>
    </row>
    <row r="95" spans="1:10" x14ac:dyDescent="0.3">
      <c r="D95" s="10" t="s">
        <v>1052</v>
      </c>
      <c r="E95" s="7">
        <f>SUM(E92:E94)</f>
        <v>812</v>
      </c>
      <c r="F95" s="7">
        <f>SUM(F92:F94)</f>
        <v>188</v>
      </c>
      <c r="G95" s="4"/>
    </row>
    <row r="99" spans="4:8" x14ac:dyDescent="0.3">
      <c r="E99" s="59" t="s">
        <v>7</v>
      </c>
      <c r="F99" s="60"/>
    </row>
    <row r="100" spans="4:8" x14ac:dyDescent="0.3">
      <c r="D100" s="26" t="s">
        <v>2</v>
      </c>
      <c r="E100" s="21" t="s">
        <v>23</v>
      </c>
      <c r="F100" s="21" t="s">
        <v>17</v>
      </c>
      <c r="G100" s="21" t="s">
        <v>1059</v>
      </c>
    </row>
    <row r="101" spans="4:8" x14ac:dyDescent="0.3">
      <c r="D101" s="5" t="s">
        <v>22</v>
      </c>
      <c r="E101" s="7">
        <f>COUNTIFS(Sheet1!$C:$C,"Cold", Sheet1!$I:$I,"Yes")</f>
        <v>188</v>
      </c>
      <c r="F101" s="7">
        <f>COUNTIFS(Sheet1!$C:$C,"Cold", Sheet1!$I:$I,"No")</f>
        <v>0</v>
      </c>
      <c r="G101" s="8">
        <f>F101/(F101+E101)</f>
        <v>0</v>
      </c>
    </row>
    <row r="102" spans="4:8" x14ac:dyDescent="0.3">
      <c r="D102" s="5" t="s">
        <v>30</v>
      </c>
      <c r="E102" s="7">
        <f>COUNTIFS(Sheet1!$C:$C,"Hot", Sheet1!$I:$I,"Yes")</f>
        <v>26</v>
      </c>
      <c r="F102" s="7">
        <f>COUNTIFS(Sheet1!$C:$C,"Hot", Sheet1!$I:$I,"No")</f>
        <v>277</v>
      </c>
      <c r="G102" s="8">
        <f>F102/(E102+F102)</f>
        <v>0.91419141914191415</v>
      </c>
    </row>
    <row r="103" spans="4:8" x14ac:dyDescent="0.3">
      <c r="D103" s="5" t="s">
        <v>16</v>
      </c>
      <c r="E103" s="7">
        <f>COUNTIFS(Sheet1!$C:$C,"Warm", Sheet1!$I:$I,"Yes")</f>
        <v>57</v>
      </c>
      <c r="F103" s="7">
        <f>COUNTIFS(Sheet1!$C:$C,"Warm", Sheet1!$I:$I,"No")</f>
        <v>452</v>
      </c>
      <c r="G103" s="8">
        <f>F103/(E103+F103)</f>
        <v>0.88801571709233795</v>
      </c>
    </row>
    <row r="104" spans="4:8" x14ac:dyDescent="0.3">
      <c r="D104" s="10" t="s">
        <v>1052</v>
      </c>
      <c r="E104" s="7">
        <f>SUM(E101:E103)</f>
        <v>271</v>
      </c>
      <c r="F104" s="7">
        <f>SUM(F101:F103)</f>
        <v>729</v>
      </c>
    </row>
    <row r="108" spans="4:8" x14ac:dyDescent="0.3">
      <c r="E108" s="59" t="s">
        <v>1</v>
      </c>
      <c r="F108" s="60"/>
      <c r="G108" s="60"/>
      <c r="H108" s="60"/>
    </row>
    <row r="109" spans="4:8" x14ac:dyDescent="0.3">
      <c r="D109" s="21" t="s">
        <v>2</v>
      </c>
      <c r="E109" s="21" t="s">
        <v>15</v>
      </c>
      <c r="F109" s="28" t="s">
        <v>19</v>
      </c>
      <c r="G109" s="28" t="s">
        <v>21</v>
      </c>
      <c r="H109" s="28" t="s">
        <v>32</v>
      </c>
    </row>
    <row r="110" spans="4:8" x14ac:dyDescent="0.3">
      <c r="D110" s="27" t="s">
        <v>22</v>
      </c>
      <c r="E110" s="7">
        <f>COUNTIFS(Sheet1!$C:$C,"Cold", Sheet1!$B:$B,"Bangalore MBC")</f>
        <v>51</v>
      </c>
      <c r="F110" s="7">
        <f>COUNTIFS(Sheet1!$C:$C,"Cold", Sheet1!$B:$B,"Delhi MBC")</f>
        <v>51</v>
      </c>
      <c r="G110" s="7">
        <f>COUNTIFS(Sheet1!$C:$C,"Cold", Sheet1!$B:$B,"Mumbai MBC")</f>
        <v>47</v>
      </c>
      <c r="H110" s="7">
        <f>COUNTIFS(Sheet1!$C:$C,"Cold", Sheet1!$B:$B,"Chennai MBC")</f>
        <v>39</v>
      </c>
    </row>
    <row r="111" spans="4:8" x14ac:dyDescent="0.3">
      <c r="D111" s="27" t="s">
        <v>30</v>
      </c>
      <c r="E111" s="7">
        <f>COUNTIFS(Sheet1!$C:$C,"Hot", Sheet1!$B:$B,"Bangalore MBC")</f>
        <v>80</v>
      </c>
      <c r="F111" s="7">
        <f>COUNTIFS(Sheet1!$C:$C,"Hot", Sheet1!$B:$B,"Delhi MBC")</f>
        <v>70</v>
      </c>
      <c r="G111" s="7">
        <f>COUNTIFS(Sheet1!$C:$C,"Hot",Sheet1!$B:$B,"Mumbai MBC")</f>
        <v>83</v>
      </c>
      <c r="H111" s="7">
        <f>COUNTIFS(Sheet1!$C:$C,"Hot", Sheet1!$B:$B,"Chennai MBC")</f>
        <v>70</v>
      </c>
    </row>
    <row r="112" spans="4:8" x14ac:dyDescent="0.3">
      <c r="D112" s="27" t="s">
        <v>16</v>
      </c>
      <c r="E112" s="7">
        <f>COUNTIFS(Sheet1!$C:$C,"Warm", Sheet1!$B:$B,"Bangalore MBC")</f>
        <v>132</v>
      </c>
      <c r="F112" s="7">
        <f>COUNTIFS(Sheet1!$C:$C,"Warm",Sheet1!$B:$B,"Delhi MBC")</f>
        <v>142</v>
      </c>
      <c r="G112" s="7">
        <f>COUNTIFS(Sheet1!$C:$C,"Warm",Sheet1!$B:$B,"Mumbai MBC")</f>
        <v>132</v>
      </c>
      <c r="H112" s="7">
        <f>COUNTIFS(Sheet1!$C:$C,"Warm", Sheet1!$B:$B,"Chennai MBC")</f>
        <v>103</v>
      </c>
    </row>
    <row r="113" spans="1:10" x14ac:dyDescent="0.3">
      <c r="D113" s="10" t="s">
        <v>1052</v>
      </c>
      <c r="E113" s="7">
        <f>SUM(E110:E112)</f>
        <v>263</v>
      </c>
      <c r="F113" s="7">
        <f t="shared" ref="F113:H113" si="8">SUM(F110:F112)</f>
        <v>263</v>
      </c>
      <c r="G113" s="7">
        <f t="shared" si="8"/>
        <v>262</v>
      </c>
      <c r="H113" s="7">
        <f t="shared" si="8"/>
        <v>212</v>
      </c>
    </row>
    <row r="120" spans="1:10" s="62" customFormat="1" x14ac:dyDescent="0.3">
      <c r="A120" s="61" t="s">
        <v>1070</v>
      </c>
    </row>
    <row r="121" spans="1:10" s="64" customFormat="1" x14ac:dyDescent="0.3">
      <c r="A121" s="63" t="s">
        <v>1083</v>
      </c>
    </row>
    <row r="122" spans="1:10" ht="57.6" customHeight="1" x14ac:dyDescent="0.3">
      <c r="B122" s="65" t="s">
        <v>1084</v>
      </c>
      <c r="C122" s="66"/>
    </row>
    <row r="125" spans="1:10" x14ac:dyDescent="0.3">
      <c r="E125" s="59" t="s">
        <v>1</v>
      </c>
      <c r="F125" s="60"/>
      <c r="G125" s="60"/>
      <c r="H125" s="60"/>
    </row>
    <row r="126" spans="1:10" x14ac:dyDescent="0.3">
      <c r="E126" s="21" t="s">
        <v>15</v>
      </c>
      <c r="F126" s="28" t="s">
        <v>19</v>
      </c>
      <c r="G126" s="28" t="s">
        <v>21</v>
      </c>
      <c r="H126" s="28" t="s">
        <v>32</v>
      </c>
    </row>
    <row r="127" spans="1:10" x14ac:dyDescent="0.3">
      <c r="D127" s="21" t="s">
        <v>1061</v>
      </c>
      <c r="E127" s="7">
        <f>COUNTIFS(Sheet1!$B:$B,Solutions!$E$126,Sheet1!P:P,Solutions!D127)</f>
        <v>23</v>
      </c>
      <c r="F127" s="7">
        <f>COUNTIFS(Sheet1!$B:$B,Solutions!$F$126,Sheet1!$P:$P,Solutions!D127)</f>
        <v>30</v>
      </c>
      <c r="G127" s="7">
        <f>COUNTIFS(Sheet1!$B:$B,Solutions!$G$126,Sheet1!$P:$P,Solutions!D127)</f>
        <v>23</v>
      </c>
      <c r="H127" s="7">
        <f>COUNTIFS(Sheet1!$B:$B,Solutions!$H$126,Sheet1!$P:$P,Solutions!D127)</f>
        <v>28</v>
      </c>
    </row>
    <row r="128" spans="1:10" x14ac:dyDescent="0.3">
      <c r="D128" s="21" t="s">
        <v>1062</v>
      </c>
      <c r="E128" s="7">
        <f>COUNTIFS(Sheet1!$B:$B,Solutions!$E$126,Sheet1!P:P,Solutions!D128)</f>
        <v>34</v>
      </c>
      <c r="F128" s="7">
        <f>COUNTIFS(Sheet1!$B:$B,Solutions!$F$126,Sheet1!$P:$P,Solutions!D128)</f>
        <v>33</v>
      </c>
      <c r="G128" s="7">
        <f>COUNTIFS(Sheet1!$B:$B,Solutions!$G$126,Sheet1!$P:$P,Solutions!D128)</f>
        <v>38</v>
      </c>
      <c r="H128" s="7">
        <f>COUNTIFS(Sheet1!$B:$B,Solutions!$H$126,Sheet1!$P:$P,Solutions!D128)</f>
        <v>26</v>
      </c>
      <c r="J128" s="13"/>
    </row>
    <row r="129" spans="4:8" x14ac:dyDescent="0.3">
      <c r="D129" s="21" t="s">
        <v>1063</v>
      </c>
      <c r="E129" s="7">
        <f>COUNTIFS(Sheet1!$B:$B,Solutions!$E$126,Sheet1!P:P,Solutions!D129)</f>
        <v>134</v>
      </c>
      <c r="F129" s="7">
        <f>COUNTIFS(Sheet1!$B:$B,Solutions!$F$126,Sheet1!$P:$P,Solutions!D129)</f>
        <v>123</v>
      </c>
      <c r="G129" s="7">
        <f>COUNTIFS(Sheet1!$B:$B,Solutions!$G$126,Sheet1!$P:$P,Solutions!D129)</f>
        <v>138</v>
      </c>
      <c r="H129" s="7">
        <f>COUNTIFS(Sheet1!$B:$B,Solutions!$H$126,Sheet1!$P:$P,Solutions!D129)</f>
        <v>99</v>
      </c>
    </row>
    <row r="130" spans="4:8" x14ac:dyDescent="0.3">
      <c r="D130" s="31" t="s">
        <v>1052</v>
      </c>
      <c r="E130" s="7">
        <f>SUM(E127:E129)</f>
        <v>191</v>
      </c>
      <c r="F130" s="7">
        <f t="shared" ref="F130:H130" si="9">SUM(F127:F129)</f>
        <v>186</v>
      </c>
      <c r="G130" s="7">
        <f t="shared" si="9"/>
        <v>199</v>
      </c>
      <c r="H130" s="7">
        <f t="shared" si="9"/>
        <v>153</v>
      </c>
    </row>
    <row r="134" spans="4:8" x14ac:dyDescent="0.3">
      <c r="D134" s="58" t="s">
        <v>1064</v>
      </c>
      <c r="E134" s="58"/>
      <c r="F134" s="58"/>
      <c r="G134" s="58"/>
    </row>
    <row r="136" spans="4:8" x14ac:dyDescent="0.3">
      <c r="E136" s="59" t="s">
        <v>1</v>
      </c>
      <c r="F136" s="60"/>
      <c r="G136" s="60"/>
      <c r="H136" s="60"/>
    </row>
    <row r="137" spans="4:8" x14ac:dyDescent="0.3">
      <c r="E137" s="21" t="s">
        <v>15</v>
      </c>
      <c r="F137" s="28" t="s">
        <v>19</v>
      </c>
      <c r="G137" s="28" t="s">
        <v>21</v>
      </c>
      <c r="H137" s="28" t="s">
        <v>32</v>
      </c>
    </row>
    <row r="138" spans="4:8" x14ac:dyDescent="0.3">
      <c r="D138" s="21" t="s">
        <v>1065</v>
      </c>
      <c r="E138" s="39">
        <f>((E127/E130)-(E129/E130))</f>
        <v>-0.58115183246073299</v>
      </c>
      <c r="F138" s="39">
        <f t="shared" ref="F138:H138" si="10">((F127/F130)-(F129/F130))</f>
        <v>-0.5</v>
      </c>
      <c r="G138" s="39">
        <f t="shared" si="10"/>
        <v>-0.57788944723618085</v>
      </c>
      <c r="H138" s="39">
        <f t="shared" si="10"/>
        <v>-0.46405228758169936</v>
      </c>
    </row>
    <row r="148" spans="1:7" s="62" customFormat="1" x14ac:dyDescent="0.3">
      <c r="A148" s="61" t="s">
        <v>1071</v>
      </c>
    </row>
    <row r="149" spans="1:7" s="64" customFormat="1" x14ac:dyDescent="0.3">
      <c r="A149" s="63" t="s">
        <v>1083</v>
      </c>
    </row>
    <row r="152" spans="1:7" x14ac:dyDescent="0.3">
      <c r="E152" s="59" t="s">
        <v>7</v>
      </c>
      <c r="F152" s="60"/>
    </row>
    <row r="153" spans="1:7" x14ac:dyDescent="0.3">
      <c r="E153" s="21" t="s">
        <v>23</v>
      </c>
      <c r="F153" s="21" t="s">
        <v>17</v>
      </c>
      <c r="G153" s="21" t="s">
        <v>1059</v>
      </c>
    </row>
    <row r="154" spans="1:7" x14ac:dyDescent="0.3">
      <c r="D154" s="27" t="s">
        <v>22</v>
      </c>
      <c r="E154" s="7">
        <f>COUNTIFS(Sheet1!$C:$C,Solutions!D154,Sheet1!$I:$I,Solutions!$E$153)</f>
        <v>188</v>
      </c>
      <c r="F154" s="7">
        <f>COUNTIFS(Sheet1!$C:$C,Solutions!D154,Sheet1!$I:$I,Solutions!$F$153)</f>
        <v>0</v>
      </c>
      <c r="G154" s="32">
        <f>F154/(F154+E154)</f>
        <v>0</v>
      </c>
    </row>
    <row r="155" spans="1:7" x14ac:dyDescent="0.3">
      <c r="D155" s="27" t="s">
        <v>30</v>
      </c>
      <c r="E155" s="7">
        <f>COUNTIFS(Sheet1!$C:$C,Solutions!D155,Sheet1!$I:$I,Solutions!$E$153)</f>
        <v>26</v>
      </c>
      <c r="F155" s="7">
        <f>COUNTIFS(Sheet1!$C:$C,Solutions!D155,Sheet1!$I:$I,Solutions!$F$153)</f>
        <v>277</v>
      </c>
      <c r="G155" s="40">
        <f>F155/(F155+E155)</f>
        <v>0.91419141914191415</v>
      </c>
    </row>
    <row r="156" spans="1:7" x14ac:dyDescent="0.3">
      <c r="D156" s="5" t="s">
        <v>16</v>
      </c>
      <c r="E156" s="7">
        <f>COUNTIFS(Sheet1!$C:$C,Solutions!D156,Sheet1!$I:$I,Solutions!$E$153)</f>
        <v>57</v>
      </c>
      <c r="F156" s="7">
        <f>COUNTIFS(Sheet1!$C:$C,Solutions!D156,Sheet1!$I:$I,Solutions!$F$153)</f>
        <v>452</v>
      </c>
      <c r="G156" s="41">
        <f>F156/(F156+E156)</f>
        <v>0.88801571709233795</v>
      </c>
    </row>
    <row r="157" spans="1:7" x14ac:dyDescent="0.3">
      <c r="D157" s="43"/>
      <c r="F157" s="44"/>
      <c r="G157" s="45"/>
    </row>
    <row r="161" spans="5:8" x14ac:dyDescent="0.3">
      <c r="E161" s="56" t="s">
        <v>1081</v>
      </c>
      <c r="F161" s="57"/>
      <c r="G161" s="57"/>
      <c r="H161" s="57"/>
    </row>
  </sheetData>
  <mergeCells count="23">
    <mergeCell ref="E67:J67"/>
    <mergeCell ref="A1:XFD1"/>
    <mergeCell ref="A12:C12"/>
    <mergeCell ref="A18:C18"/>
    <mergeCell ref="A30:XFD30"/>
    <mergeCell ref="A53:XFD53"/>
    <mergeCell ref="A2:XFD2"/>
    <mergeCell ref="A31:XFD31"/>
    <mergeCell ref="A54:XFD54"/>
    <mergeCell ref="A80:XFD80"/>
    <mergeCell ref="E99:F99"/>
    <mergeCell ref="E108:H108"/>
    <mergeCell ref="A120:XFD120"/>
    <mergeCell ref="E125:H125"/>
    <mergeCell ref="A81:XFD81"/>
    <mergeCell ref="A121:XFD121"/>
    <mergeCell ref="B122:C122"/>
    <mergeCell ref="E161:H161"/>
    <mergeCell ref="D134:G134"/>
    <mergeCell ref="E136:H136"/>
    <mergeCell ref="A148:XFD148"/>
    <mergeCell ref="E152:F152"/>
    <mergeCell ref="A149:XFD149"/>
  </mergeCell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7C394-4E6B-4782-B857-F34F23BDB515}">
  <sheetPr>
    <tabColor rgb="FF00B050"/>
  </sheetPr>
  <dimension ref="G16:X58"/>
  <sheetViews>
    <sheetView zoomScale="70" zoomScaleNormal="70" workbookViewId="0">
      <selection activeCell="J48" sqref="J48"/>
    </sheetView>
  </sheetViews>
  <sheetFormatPr defaultRowHeight="14.4" x14ac:dyDescent="0.3"/>
  <cols>
    <col min="1" max="6" width="8.88671875" style="47"/>
    <col min="7" max="7" width="14.21875" style="47" customWidth="1"/>
    <col min="8" max="8" width="8.88671875" style="47"/>
    <col min="9" max="9" width="9.44140625" style="47" customWidth="1"/>
    <col min="10" max="10" width="11" style="47" customWidth="1"/>
    <col min="11" max="14" width="8.88671875" style="47"/>
    <col min="15" max="15" width="8.88671875" style="47" customWidth="1"/>
    <col min="16" max="16" width="8.88671875" style="47"/>
    <col min="17" max="17" width="13.44140625" style="47" customWidth="1"/>
    <col min="18" max="20" width="8.88671875" style="47"/>
    <col min="21" max="21" width="8.88671875" style="47" customWidth="1"/>
    <col min="22" max="22" width="12.6640625" style="47" customWidth="1"/>
    <col min="23" max="23" width="16.77734375" style="47" customWidth="1"/>
    <col min="24" max="24" width="14.109375" style="47" customWidth="1"/>
    <col min="25" max="16384" width="8.88671875" style="47"/>
  </cols>
  <sheetData>
    <row r="16" spans="22:24" ht="28.8" x14ac:dyDescent="0.3">
      <c r="V16" s="51" t="s">
        <v>1073</v>
      </c>
      <c r="W16" s="52" t="s">
        <v>8</v>
      </c>
      <c r="X16" s="49" t="s">
        <v>1072</v>
      </c>
    </row>
    <row r="17" spans="22:24" x14ac:dyDescent="0.3">
      <c r="V17" s="50" t="s">
        <v>32</v>
      </c>
      <c r="W17" s="49" t="s">
        <v>33</v>
      </c>
      <c r="X17" s="49">
        <f>COUNTIFS(Sheet1!$B:$B,$V$17,Sheet1!$J:$J,W17)</f>
        <v>15</v>
      </c>
    </row>
    <row r="18" spans="22:24" x14ac:dyDescent="0.3">
      <c r="V18" s="49"/>
      <c r="W18" s="49" t="s">
        <v>1049</v>
      </c>
      <c r="X18" s="49">
        <f>COUNTIFS(Sheet1!$B:$B,$V$17,Sheet1!$J:$J,W18)</f>
        <v>10</v>
      </c>
    </row>
    <row r="19" spans="22:24" x14ac:dyDescent="0.3">
      <c r="V19" s="49"/>
      <c r="W19" s="49" t="s">
        <v>26</v>
      </c>
      <c r="X19" s="49">
        <f>COUNTIFS(Sheet1!$B:$B,$V$17,Sheet1!$J:$J,W19)</f>
        <v>8</v>
      </c>
    </row>
    <row r="20" spans="22:24" x14ac:dyDescent="0.3">
      <c r="V20" s="49"/>
      <c r="W20" s="49" t="s">
        <v>24</v>
      </c>
      <c r="X20" s="49">
        <f>COUNTIFS(Sheet1!$B:$B,$V$17,Sheet1!$J:$J,W20)</f>
        <v>8</v>
      </c>
    </row>
    <row r="21" spans="22:24" x14ac:dyDescent="0.3">
      <c r="V21" s="49"/>
      <c r="W21" s="49" t="s">
        <v>101</v>
      </c>
      <c r="X21" s="49">
        <f>COUNTIFS(Sheet1!$B:$B,$V$17,Sheet1!$J:$J,W21)</f>
        <v>18</v>
      </c>
    </row>
    <row r="22" spans="22:24" x14ac:dyDescent="0.3">
      <c r="V22" s="49"/>
      <c r="W22" s="49" t="s">
        <v>1052</v>
      </c>
      <c r="X22" s="49">
        <f>SUM(X17:X21)</f>
        <v>59</v>
      </c>
    </row>
    <row r="34" spans="7:22" ht="28.8" x14ac:dyDescent="0.3">
      <c r="Q34" s="51" t="s">
        <v>1073</v>
      </c>
      <c r="R34" s="49" t="s">
        <v>1076</v>
      </c>
      <c r="S34" s="49" t="s">
        <v>1077</v>
      </c>
    </row>
    <row r="35" spans="7:22" ht="16.2" customHeight="1" x14ac:dyDescent="0.3">
      <c r="G35" s="46" t="s">
        <v>1073</v>
      </c>
      <c r="H35" s="49" t="s">
        <v>2</v>
      </c>
      <c r="I35" s="49" t="s">
        <v>1074</v>
      </c>
      <c r="Q35" s="50" t="s">
        <v>21</v>
      </c>
      <c r="R35" s="49" t="s">
        <v>1061</v>
      </c>
      <c r="S35" s="49">
        <f>COUNTIFS(Sheet1!$B:$B,$Q$35,Sheet1!$P:$P,R35)</f>
        <v>23</v>
      </c>
    </row>
    <row r="36" spans="7:22" ht="16.8" customHeight="1" x14ac:dyDescent="0.3">
      <c r="G36" s="53" t="s">
        <v>15</v>
      </c>
      <c r="H36" s="49" t="s">
        <v>30</v>
      </c>
      <c r="I36" s="49">
        <f>COUNTIFS(Sheet1!$C:$C, H36,Sheet1!$B:$B,$G$36)</f>
        <v>80</v>
      </c>
      <c r="R36" s="49" t="s">
        <v>1062</v>
      </c>
      <c r="S36" s="49">
        <f>COUNTIFS(Sheet1!$B:$B,$Q$35,Sheet1!$P:$P,R36)</f>
        <v>38</v>
      </c>
    </row>
    <row r="37" spans="7:22" x14ac:dyDescent="0.3">
      <c r="H37" s="49" t="s">
        <v>22</v>
      </c>
      <c r="I37" s="49">
        <f>COUNTIFS(Sheet1!$C:$C, H37,Sheet1!$B:$B,$G$36)</f>
        <v>51</v>
      </c>
      <c r="Q37"/>
      <c r="R37" s="49" t="s">
        <v>1063</v>
      </c>
      <c r="S37" s="49">
        <f>COUNTIFS(Sheet1!$B:$B,$Q$35,Sheet1!$P:$P,R37)</f>
        <v>138</v>
      </c>
    </row>
    <row r="38" spans="7:22" x14ac:dyDescent="0.3">
      <c r="H38" s="49" t="s">
        <v>16</v>
      </c>
      <c r="I38" s="49">
        <f>COUNTIFS(Sheet1!$C:$C, H38,Sheet1!$B:$B,$G$36)</f>
        <v>132</v>
      </c>
      <c r="R38" s="49" t="s">
        <v>1052</v>
      </c>
      <c r="S38" s="49">
        <f>SUM(S35:S37)</f>
        <v>199</v>
      </c>
    </row>
    <row r="39" spans="7:22" x14ac:dyDescent="0.3">
      <c r="H39" s="49" t="s">
        <v>1052</v>
      </c>
      <c r="I39" s="49">
        <f>SUM(I36:I38)</f>
        <v>263</v>
      </c>
    </row>
    <row r="47" spans="7:22" ht="43.2" customHeight="1" x14ac:dyDescent="0.3">
      <c r="I47" s="51" t="s">
        <v>1073</v>
      </c>
      <c r="J47" s="51" t="s">
        <v>1075</v>
      </c>
      <c r="K47" s="49" t="s">
        <v>13</v>
      </c>
      <c r="L47" s="49" t="s">
        <v>1078</v>
      </c>
      <c r="S47" s="69" t="s">
        <v>1085</v>
      </c>
      <c r="T47" s="69"/>
      <c r="U47" s="69"/>
      <c r="V47" s="69"/>
    </row>
    <row r="48" spans="7:22" x14ac:dyDescent="0.3">
      <c r="I48" s="53" t="s">
        <v>19</v>
      </c>
      <c r="J48" s="55" t="s">
        <v>30</v>
      </c>
      <c r="K48" s="54">
        <v>0</v>
      </c>
      <c r="L48" s="49">
        <f>COUNTIFS(Sheet1!$B:$B,$I$48,Sheet1!$C:$C,$J$48,Sheet1!$O:$O,K48)</f>
        <v>1</v>
      </c>
    </row>
    <row r="49" spans="11:12" x14ac:dyDescent="0.3">
      <c r="K49" s="54">
        <v>1</v>
      </c>
      <c r="L49" s="49">
        <f>COUNTIFS(Sheet1!$B:$B,$I$48,Sheet1!$C:$C,$J$48,Sheet1!$O:$O,K49)</f>
        <v>5</v>
      </c>
    </row>
    <row r="50" spans="11:12" x14ac:dyDescent="0.3">
      <c r="K50" s="54">
        <v>2</v>
      </c>
      <c r="L50" s="49">
        <f>COUNTIFS(Sheet1!$B:$B,$I$48,Sheet1!$C:$C,$J$48,Sheet1!$O:$O,K50)</f>
        <v>8</v>
      </c>
    </row>
    <row r="51" spans="11:12" x14ac:dyDescent="0.3">
      <c r="K51" s="54">
        <v>3</v>
      </c>
      <c r="L51" s="49">
        <f>COUNTIFS(Sheet1!$B:$B,$I$48,Sheet1!$C:$C,$J$48,Sheet1!$O:$O,K51)</f>
        <v>8</v>
      </c>
    </row>
    <row r="52" spans="11:12" x14ac:dyDescent="0.3">
      <c r="K52" s="54">
        <v>4</v>
      </c>
      <c r="L52" s="49">
        <f>COUNTIFS(Sheet1!$B:$B,$I$48,Sheet1!$C:$C,$J$48,Sheet1!$O:$O,K52)</f>
        <v>7</v>
      </c>
    </row>
    <row r="53" spans="11:12" x14ac:dyDescent="0.3">
      <c r="K53" s="54">
        <v>5</v>
      </c>
      <c r="L53" s="49">
        <f>COUNTIFS(Sheet1!$B:$B,$I$48,Sheet1!$C:$C,$J$48,Sheet1!$O:$O,K53)</f>
        <v>4</v>
      </c>
    </row>
    <row r="54" spans="11:12" x14ac:dyDescent="0.3">
      <c r="K54" s="54">
        <v>6</v>
      </c>
      <c r="L54" s="49">
        <f>COUNTIFS(Sheet1!$B:$B,$I$48,Sheet1!$C:$C,$J$48,Sheet1!$O:$O,K54)</f>
        <v>7</v>
      </c>
    </row>
    <row r="55" spans="11:12" x14ac:dyDescent="0.3">
      <c r="K55" s="54">
        <v>7</v>
      </c>
      <c r="L55" s="49">
        <f>COUNTIFS(Sheet1!$B:$B,$I$48,Sheet1!$C:$C,$J$48,Sheet1!$O:$O,K55)</f>
        <v>9</v>
      </c>
    </row>
    <row r="56" spans="11:12" x14ac:dyDescent="0.3">
      <c r="K56" s="54">
        <v>8</v>
      </c>
      <c r="L56" s="49">
        <f>COUNTIFS(Sheet1!$B:$B,$I$48,Sheet1!$C:$C,$J$48,Sheet1!$O:$O,K56)</f>
        <v>2</v>
      </c>
    </row>
    <row r="57" spans="11:12" x14ac:dyDescent="0.3">
      <c r="K57" s="54">
        <v>9</v>
      </c>
      <c r="L57" s="49">
        <f>COUNTIFS(Sheet1!$B:$B,$I$48,Sheet1!$C:$C,$J$48,Sheet1!$O:$O,K57)</f>
        <v>4</v>
      </c>
    </row>
    <row r="58" spans="11:12" x14ac:dyDescent="0.3">
      <c r="K58" s="54">
        <v>10</v>
      </c>
      <c r="L58" s="49">
        <f>COUNTIFS(Sheet1!$B:$B,$I$48,Sheet1!$C:$C,$J$48,Sheet1!$O:$O,K58)</f>
        <v>4</v>
      </c>
    </row>
  </sheetData>
  <mergeCells count="1">
    <mergeCell ref="S47:V4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882EA45-A6E0-4A63-BE9F-DACC51488CB4}">
          <x14:formula1>
            <xm:f>Solutions!$D$69:$D$72</xm:f>
          </x14:formula1>
          <xm:sqref>V17</xm:sqref>
        </x14:dataValidation>
        <x14:dataValidation type="list" allowBlank="1" showInputMessage="1" showErrorMessage="1" xr:uid="{C76D02AD-ED34-48F2-A322-B8EDE443A76F}">
          <x14:formula1>
            <xm:f>Solutions!$E$109:$H$109</xm:f>
          </x14:formula1>
          <xm:sqref>G36</xm:sqref>
        </x14:dataValidation>
        <x14:dataValidation type="list" allowBlank="1" showInputMessage="1" showErrorMessage="1" xr:uid="{C41D925D-F2E8-4EFC-AD2B-9485A0C72009}">
          <x14:formula1>
            <xm:f>Solutions!$E$126:$H$126</xm:f>
          </x14:formula1>
          <xm:sqref>Q35 I48</xm:sqref>
        </x14:dataValidation>
        <x14:dataValidation type="list" allowBlank="1" showInputMessage="1" showErrorMessage="1" xr:uid="{09B67CD7-8DC9-4B02-B6D5-C22D84F45CD1}">
          <x14:formula1>
            <xm:f>Solutions!$D$101:$D$103</xm:f>
          </x14:formula1>
          <xm:sqref>J48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FAE05-3BD3-4EDB-8D34-45F2DF89B8CC}">
  <sheetPr>
    <tabColor rgb="FF0070C0"/>
  </sheetPr>
  <dimension ref="M26:P92"/>
  <sheetViews>
    <sheetView topLeftCell="A88" zoomScaleNormal="100" workbookViewId="0">
      <selection activeCell="O85" sqref="O85"/>
    </sheetView>
  </sheetViews>
  <sheetFormatPr defaultRowHeight="14.4" x14ac:dyDescent="0.3"/>
  <cols>
    <col min="13" max="13" width="17.5546875" customWidth="1"/>
    <col min="14" max="14" width="17.33203125" customWidth="1"/>
    <col min="15" max="15" width="21.88671875" customWidth="1"/>
    <col min="16" max="16" width="21.6640625" customWidth="1"/>
    <col min="17" max="19" width="8.88671875" customWidth="1"/>
  </cols>
  <sheetData>
    <row r="26" spans="13:15" x14ac:dyDescent="0.3">
      <c r="N26" s="70" t="str">
        <f>"Total Cancellation from store:" &amp;M29</f>
        <v>Total Cancellation from store:Bangalore MBC</v>
      </c>
      <c r="O26" s="70"/>
    </row>
    <row r="28" spans="13:15" x14ac:dyDescent="0.3">
      <c r="M28" s="33" t="s">
        <v>1073</v>
      </c>
      <c r="N28" s="33" t="s">
        <v>8</v>
      </c>
      <c r="O28" s="33" t="s">
        <v>1072</v>
      </c>
    </row>
    <row r="29" spans="13:15" x14ac:dyDescent="0.3">
      <c r="M29" t="s">
        <v>15</v>
      </c>
      <c r="N29" s="7" t="s">
        <v>33</v>
      </c>
      <c r="O29" s="7">
        <f>COUNTIFS(Sheet1!$B:$B,Dashboard!$M$29,Sheet1!$J:$J,Dashboard!N29)</f>
        <v>13</v>
      </c>
    </row>
    <row r="30" spans="13:15" x14ac:dyDescent="0.3">
      <c r="N30" s="7" t="s">
        <v>1049</v>
      </c>
      <c r="O30" s="7">
        <f>COUNTIFS(Sheet1!$B:$B,Dashboard!$M$29,Sheet1!$J:$J,Dashboard!N30)</f>
        <v>14</v>
      </c>
    </row>
    <row r="31" spans="13:15" x14ac:dyDescent="0.3">
      <c r="N31" s="7" t="s">
        <v>26</v>
      </c>
      <c r="O31" s="7">
        <f>COUNTIFS(Sheet1!$B:$B,Dashboard!$M$29,Sheet1!$J:$J,Dashboard!N31)</f>
        <v>13</v>
      </c>
    </row>
    <row r="32" spans="13:15" x14ac:dyDescent="0.3">
      <c r="N32" s="7" t="s">
        <v>24</v>
      </c>
      <c r="O32" s="7">
        <f>COUNTIFS(Sheet1!$B:$B,Dashboard!$M$29,Sheet1!$J:$J,Dashboard!N32)</f>
        <v>22</v>
      </c>
    </row>
    <row r="33" spans="14:16" x14ac:dyDescent="0.3">
      <c r="N33" s="7" t="s">
        <v>101</v>
      </c>
      <c r="O33" s="7">
        <f>COUNTIFS(Sheet1!$B:$B,Dashboard!$M$29,Sheet1!$J:$J,Dashboard!N33)</f>
        <v>10</v>
      </c>
    </row>
    <row r="34" spans="14:16" x14ac:dyDescent="0.3">
      <c r="N34" s="35" t="s">
        <v>1052</v>
      </c>
      <c r="O34" s="35">
        <f>SUM(O29:O33)</f>
        <v>72</v>
      </c>
    </row>
    <row r="41" spans="14:16" ht="14.4" customHeight="1" x14ac:dyDescent="0.3">
      <c r="P41" s="34"/>
    </row>
    <row r="48" spans="14:16" x14ac:dyDescent="0.3">
      <c r="N48" s="70" t="str">
        <f>"Total No. of Lead Type from store:" &amp;M51</f>
        <v>Total No. of Lead Type from store:Mumbai MBC</v>
      </c>
      <c r="O48" s="70"/>
    </row>
    <row r="50" spans="13:15" x14ac:dyDescent="0.3">
      <c r="M50" s="33" t="s">
        <v>1073</v>
      </c>
      <c r="N50" s="33" t="s">
        <v>2</v>
      </c>
      <c r="O50" s="33" t="s">
        <v>1074</v>
      </c>
    </row>
    <row r="51" spans="13:15" x14ac:dyDescent="0.3">
      <c r="M51" t="s">
        <v>21</v>
      </c>
      <c r="N51" s="7" t="s">
        <v>30</v>
      </c>
      <c r="O51" s="7">
        <f>COUNTIFS(Sheet1!$C:$C, Dashboard!N51,Sheet1!$B:$B,Dashboard!$M$51)</f>
        <v>83</v>
      </c>
    </row>
    <row r="52" spans="13:15" x14ac:dyDescent="0.3">
      <c r="N52" s="7" t="s">
        <v>22</v>
      </c>
      <c r="O52" s="7">
        <f>COUNTIFS(Sheet1!$C:$C, Dashboard!N52,Sheet1!$B:$B,Dashboard!$M$51)</f>
        <v>47</v>
      </c>
    </row>
    <row r="53" spans="13:15" x14ac:dyDescent="0.3">
      <c r="N53" s="7" t="s">
        <v>16</v>
      </c>
      <c r="O53" s="7">
        <f>COUNTIFS(Sheet1!$C:$C, Dashboard!N53,Sheet1!$B:$B,Dashboard!$M$51)</f>
        <v>132</v>
      </c>
    </row>
    <row r="54" spans="13:15" x14ac:dyDescent="0.3">
      <c r="N54" s="35" t="s">
        <v>1052</v>
      </c>
      <c r="O54" s="35">
        <f>SUM(O51:O53)</f>
        <v>262</v>
      </c>
    </row>
    <row r="68" spans="13:16" x14ac:dyDescent="0.3">
      <c r="M68" s="33" t="s">
        <v>1073</v>
      </c>
      <c r="N68" s="33" t="s">
        <v>1075</v>
      </c>
      <c r="O68" s="33" t="s">
        <v>13</v>
      </c>
      <c r="P68" s="33" t="s">
        <v>1078</v>
      </c>
    </row>
    <row r="69" spans="13:16" x14ac:dyDescent="0.3">
      <c r="M69" t="s">
        <v>19</v>
      </c>
      <c r="N69" t="s">
        <v>16</v>
      </c>
      <c r="O69" s="7">
        <v>0</v>
      </c>
      <c r="P69" s="7">
        <f>COUNTIFS(Sheet1!$B:$B,Dashboard!$M$69,Sheet1!$C:$C,Dashboard!$N$69,Sheet1!$O:$O,Dashboard!O69)</f>
        <v>9</v>
      </c>
    </row>
    <row r="70" spans="13:16" x14ac:dyDescent="0.3">
      <c r="O70" s="7">
        <v>1</v>
      </c>
      <c r="P70" s="7">
        <f>COUNTIFS(Sheet1!$B:$B,Dashboard!$M$69,Sheet1!$C:$C,Dashboard!$N$69,Sheet1!$O:$O,Dashboard!O70)</f>
        <v>16</v>
      </c>
    </row>
    <row r="71" spans="13:16" x14ac:dyDescent="0.3">
      <c r="O71" s="7">
        <v>2</v>
      </c>
      <c r="P71" s="7">
        <f>COUNTIFS(Sheet1!$B:$B,Dashboard!$M$69,Sheet1!$C:$C,Dashboard!$N$69,Sheet1!$O:$O,Dashboard!O71)</f>
        <v>13</v>
      </c>
    </row>
    <row r="72" spans="13:16" x14ac:dyDescent="0.3">
      <c r="O72" s="7">
        <v>3</v>
      </c>
      <c r="P72" s="7">
        <f>COUNTIFS(Sheet1!$B:$B,Dashboard!$M$69,Sheet1!$C:$C,Dashboard!$N$69,Sheet1!$O:$O,Dashboard!O72)</f>
        <v>8</v>
      </c>
    </row>
    <row r="73" spans="13:16" x14ac:dyDescent="0.3">
      <c r="O73" s="7">
        <v>4</v>
      </c>
      <c r="P73" s="7">
        <f>COUNTIFS(Sheet1!$B:$B,Dashboard!$M$69,Sheet1!$C:$C,Dashboard!$N$69,Sheet1!$O:$O,Dashboard!O73)</f>
        <v>16</v>
      </c>
    </row>
    <row r="74" spans="13:16" x14ac:dyDescent="0.3">
      <c r="O74" s="7">
        <v>5</v>
      </c>
      <c r="P74" s="7">
        <f>COUNTIFS(Sheet1!$B:$B,Dashboard!$M$69,Sheet1!$C:$C,Dashboard!$N$69,Sheet1!$O:$O,Dashboard!O74)</f>
        <v>6</v>
      </c>
    </row>
    <row r="75" spans="13:16" x14ac:dyDescent="0.3">
      <c r="O75" s="7">
        <v>6</v>
      </c>
      <c r="P75" s="7">
        <f>COUNTIFS(Sheet1!$B:$B,Dashboard!$M$69,Sheet1!$C:$C,Dashboard!$N$69,Sheet1!$O:$O,Dashboard!O75)</f>
        <v>15</v>
      </c>
    </row>
    <row r="76" spans="13:16" x14ac:dyDescent="0.3">
      <c r="O76" s="7">
        <v>7</v>
      </c>
      <c r="P76" s="7">
        <f>COUNTIFS(Sheet1!$B:$B,Dashboard!$M$69,Sheet1!$C:$C,Dashboard!$N$69,Sheet1!$O:$O,Dashboard!O76)</f>
        <v>10</v>
      </c>
    </row>
    <row r="77" spans="13:16" x14ac:dyDescent="0.3">
      <c r="O77" s="7">
        <v>8</v>
      </c>
      <c r="P77" s="7">
        <f>COUNTIFS(Sheet1!$B:$B,Dashboard!$M$69,Sheet1!$C:$C,Dashboard!$N$69,Sheet1!$O:$O,Dashboard!O77)</f>
        <v>12</v>
      </c>
    </row>
    <row r="78" spans="13:16" x14ac:dyDescent="0.3">
      <c r="O78" s="7">
        <v>9</v>
      </c>
      <c r="P78" s="7">
        <f>COUNTIFS(Sheet1!$B:$B,Dashboard!$M$69,Sheet1!$C:$C,Dashboard!$N$69,Sheet1!$O:$O,Dashboard!O78)</f>
        <v>15</v>
      </c>
    </row>
    <row r="79" spans="13:16" x14ac:dyDescent="0.3">
      <c r="O79" s="7">
        <v>10</v>
      </c>
      <c r="P79" s="7">
        <f>COUNTIFS(Sheet1!$B:$B,Dashboard!$M$69,Sheet1!$C:$C,Dashboard!$N$69,Sheet1!$O:$O,Dashboard!O79)</f>
        <v>7</v>
      </c>
    </row>
    <row r="88" spans="13:15" x14ac:dyDescent="0.3">
      <c r="M88" s="33" t="s">
        <v>1073</v>
      </c>
      <c r="N88" s="33" t="s">
        <v>1076</v>
      </c>
      <c r="O88" s="33" t="s">
        <v>1077</v>
      </c>
    </row>
    <row r="89" spans="13:15" x14ac:dyDescent="0.3">
      <c r="M89" t="s">
        <v>19</v>
      </c>
      <c r="N89" s="7" t="s">
        <v>1061</v>
      </c>
      <c r="O89" s="7">
        <f>COUNTIFS(Sheet1!$B:$B,Dashboard!$M$89,Sheet1!$P:$P,Dashboard!N89)</f>
        <v>30</v>
      </c>
    </row>
    <row r="90" spans="13:15" x14ac:dyDescent="0.3">
      <c r="N90" s="7" t="s">
        <v>1062</v>
      </c>
      <c r="O90" s="7">
        <f>COUNTIFS(Sheet1!$B:$B,Dashboard!$M$89,Sheet1!$P:$P,Dashboard!N90)</f>
        <v>33</v>
      </c>
    </row>
    <row r="91" spans="13:15" x14ac:dyDescent="0.3">
      <c r="N91" s="7" t="s">
        <v>1063</v>
      </c>
      <c r="O91" s="7">
        <f>COUNTIFS(Sheet1!$B:$B,Dashboard!$M$89,Sheet1!$P:$P,Dashboard!N91)</f>
        <v>123</v>
      </c>
    </row>
    <row r="92" spans="13:15" x14ac:dyDescent="0.3">
      <c r="N92" s="35" t="s">
        <v>1052</v>
      </c>
      <c r="O92" s="35">
        <f>SUM(O89:O91)</f>
        <v>186</v>
      </c>
    </row>
  </sheetData>
  <mergeCells count="2">
    <mergeCell ref="N26:O26"/>
    <mergeCell ref="N48:O48"/>
  </mergeCells>
  <dataValidations count="1">
    <dataValidation type="list" allowBlank="1" showInputMessage="1" showErrorMessage="1" sqref="N69" xr:uid="{E4D457B4-2BFD-48C3-BF91-55AEDFD70654}">
      <formula1>$N$51:$N$53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8F8294-E863-48CB-A196-E94641D589E7}">
          <x14:formula1>
            <xm:f>Solutions!$D$69:$D$72</xm:f>
          </x14:formula1>
          <xm:sqref>M29</xm:sqref>
        </x14:dataValidation>
        <x14:dataValidation type="list" allowBlank="1" showInputMessage="1" showErrorMessage="1" xr:uid="{A7276777-5221-4136-B329-4EE6C1E55C2C}">
          <x14:formula1>
            <xm:f>Solutions!$E$109:$H$109</xm:f>
          </x14:formula1>
          <xm:sqref>M51</xm:sqref>
        </x14:dataValidation>
        <x14:dataValidation type="list" allowBlank="1" showInputMessage="1" showErrorMessage="1" xr:uid="{D46D7653-04BC-4FEC-A156-31A3BA6083DE}">
          <x14:formula1>
            <xm:f>Solutions!$E$126:$H$126</xm:f>
          </x14:formula1>
          <xm:sqref>M69 M89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CABCB7-2DBF-4C06-B699-526F88782D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Solutions</vt:lpstr>
      <vt:lpstr>Dashboard_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Prince Parimal</cp:lastModifiedBy>
  <dcterms:created xsi:type="dcterms:W3CDTF">2025-10-28T20:04:16Z</dcterms:created>
  <dcterms:modified xsi:type="dcterms:W3CDTF">2025-11-01T21:46:38Z</dcterms:modified>
</cp:coreProperties>
</file>